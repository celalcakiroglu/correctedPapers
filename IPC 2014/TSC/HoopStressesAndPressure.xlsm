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194" i="1" l="1"/>
  <c r="F195" i="1" s="1"/>
  <c r="F193" i="1"/>
  <c r="G193" i="1" s="1"/>
  <c r="G192" i="1"/>
  <c r="F180" i="1"/>
  <c r="F181" i="1" s="1"/>
  <c r="F179" i="1"/>
  <c r="G179" i="1" s="1"/>
  <c r="G178" i="1"/>
  <c r="F165" i="1"/>
  <c r="F166" i="1" s="1"/>
  <c r="G164" i="1"/>
  <c r="F151" i="1"/>
  <c r="F152" i="1" s="1"/>
  <c r="G150" i="1"/>
  <c r="F137" i="1"/>
  <c r="F138" i="1" s="1"/>
  <c r="G136" i="1"/>
  <c r="F123" i="1"/>
  <c r="F124" i="1" s="1"/>
  <c r="G122" i="1"/>
  <c r="F109" i="1"/>
  <c r="F110" i="1" s="1"/>
  <c r="G108" i="1"/>
  <c r="F96" i="1"/>
  <c r="F97" i="1" s="1"/>
  <c r="F95" i="1"/>
  <c r="G95" i="1" s="1"/>
  <c r="G94" i="1"/>
  <c r="F81" i="1"/>
  <c r="F82" i="1" s="1"/>
  <c r="G80" i="1"/>
  <c r="F67" i="1"/>
  <c r="F68" i="1" s="1"/>
  <c r="G66" i="1"/>
  <c r="F53" i="1"/>
  <c r="F54" i="1" s="1"/>
  <c r="G52" i="1"/>
  <c r="F39" i="1"/>
  <c r="F40" i="1" s="1"/>
  <c r="G38" i="1"/>
  <c r="F26" i="1"/>
  <c r="F27" i="1" s="1"/>
  <c r="F25" i="1"/>
  <c r="G25" i="1" s="1"/>
  <c r="G24" i="1"/>
  <c r="K8" i="1"/>
  <c r="G11" i="1"/>
  <c r="G12" i="1"/>
  <c r="G13" i="1"/>
  <c r="G14" i="1"/>
  <c r="G15" i="1"/>
  <c r="G16" i="1"/>
  <c r="G17" i="1"/>
  <c r="G18" i="1"/>
  <c r="G10" i="1"/>
  <c r="F13" i="1"/>
  <c r="F14" i="1"/>
  <c r="F15" i="1" s="1"/>
  <c r="F16" i="1" s="1"/>
  <c r="F17" i="1" s="1"/>
  <c r="F18" i="1" s="1"/>
  <c r="F12" i="1"/>
  <c r="F11" i="1"/>
  <c r="G195" i="1" l="1"/>
  <c r="F196" i="1"/>
  <c r="G194" i="1"/>
  <c r="G181" i="1"/>
  <c r="F182" i="1"/>
  <c r="G180" i="1"/>
  <c r="G166" i="1"/>
  <c r="F167" i="1"/>
  <c r="G165" i="1"/>
  <c r="G152" i="1"/>
  <c r="F153" i="1"/>
  <c r="G151" i="1"/>
  <c r="G138" i="1"/>
  <c r="F139" i="1"/>
  <c r="G137" i="1"/>
  <c r="F125" i="1"/>
  <c r="G124" i="1"/>
  <c r="G123" i="1"/>
  <c r="G110" i="1"/>
  <c r="F111" i="1"/>
  <c r="G109" i="1"/>
  <c r="G97" i="1"/>
  <c r="F98" i="1"/>
  <c r="G96" i="1"/>
  <c r="F83" i="1"/>
  <c r="G82" i="1"/>
  <c r="G81" i="1"/>
  <c r="G68" i="1"/>
  <c r="F69" i="1"/>
  <c r="G67" i="1"/>
  <c r="F55" i="1"/>
  <c r="G54" i="1"/>
  <c r="G53" i="1"/>
  <c r="G40" i="1"/>
  <c r="F41" i="1"/>
  <c r="G39" i="1"/>
  <c r="G27" i="1"/>
  <c r="F28" i="1"/>
  <c r="G26" i="1"/>
  <c r="F197" i="1" l="1"/>
  <c r="G196" i="1"/>
  <c r="F183" i="1"/>
  <c r="G182" i="1"/>
  <c r="F168" i="1"/>
  <c r="G167" i="1"/>
  <c r="F154" i="1"/>
  <c r="G153" i="1"/>
  <c r="F140" i="1"/>
  <c r="G139" i="1"/>
  <c r="F126" i="1"/>
  <c r="G125" i="1"/>
  <c r="F112" i="1"/>
  <c r="G111" i="1"/>
  <c r="F99" i="1"/>
  <c r="G98" i="1"/>
  <c r="F84" i="1"/>
  <c r="G83" i="1"/>
  <c r="F70" i="1"/>
  <c r="G69" i="1"/>
  <c r="F56" i="1"/>
  <c r="G55" i="1"/>
  <c r="F42" i="1"/>
  <c r="G41" i="1"/>
  <c r="F29" i="1"/>
  <c r="G28" i="1"/>
  <c r="G197" i="1" l="1"/>
  <c r="F198" i="1"/>
  <c r="G183" i="1"/>
  <c r="F184" i="1"/>
  <c r="G168" i="1"/>
  <c r="F169" i="1"/>
  <c r="G154" i="1"/>
  <c r="F155" i="1"/>
  <c r="G140" i="1"/>
  <c r="F141" i="1"/>
  <c r="F127" i="1"/>
  <c r="G126" i="1"/>
  <c r="G112" i="1"/>
  <c r="F113" i="1"/>
  <c r="G99" i="1"/>
  <c r="F100" i="1"/>
  <c r="F85" i="1"/>
  <c r="G84" i="1"/>
  <c r="G70" i="1"/>
  <c r="F71" i="1"/>
  <c r="F57" i="1"/>
  <c r="G56" i="1"/>
  <c r="G42" i="1"/>
  <c r="F43" i="1"/>
  <c r="G29" i="1"/>
  <c r="F30" i="1"/>
  <c r="F199" i="1" l="1"/>
  <c r="G198" i="1"/>
  <c r="F185" i="1"/>
  <c r="G184" i="1"/>
  <c r="F170" i="1"/>
  <c r="G169" i="1"/>
  <c r="F156" i="1"/>
  <c r="G155" i="1"/>
  <c r="F142" i="1"/>
  <c r="G141" i="1"/>
  <c r="F128" i="1"/>
  <c r="G127" i="1"/>
  <c r="F114" i="1"/>
  <c r="G113" i="1"/>
  <c r="F101" i="1"/>
  <c r="G100" i="1"/>
  <c r="F86" i="1"/>
  <c r="G85" i="1"/>
  <c r="F72" i="1"/>
  <c r="G71" i="1"/>
  <c r="F58" i="1"/>
  <c r="G57" i="1"/>
  <c r="F44" i="1"/>
  <c r="G43" i="1"/>
  <c r="F31" i="1"/>
  <c r="G30" i="1"/>
  <c r="G199" i="1" l="1"/>
  <c r="F200" i="1"/>
  <c r="G200" i="1" s="1"/>
  <c r="G185" i="1"/>
  <c r="F186" i="1"/>
  <c r="G186" i="1" s="1"/>
  <c r="G170" i="1"/>
  <c r="F171" i="1"/>
  <c r="G156" i="1"/>
  <c r="F157" i="1"/>
  <c r="G142" i="1"/>
  <c r="F143" i="1"/>
  <c r="F129" i="1"/>
  <c r="G128" i="1"/>
  <c r="G114" i="1"/>
  <c r="F115" i="1"/>
  <c r="G101" i="1"/>
  <c r="F102" i="1"/>
  <c r="G102" i="1" s="1"/>
  <c r="F87" i="1"/>
  <c r="G86" i="1"/>
  <c r="G72" i="1"/>
  <c r="F73" i="1"/>
  <c r="F59" i="1"/>
  <c r="G58" i="1"/>
  <c r="G44" i="1"/>
  <c r="F45" i="1"/>
  <c r="G31" i="1"/>
  <c r="F32" i="1"/>
  <c r="G32" i="1" s="1"/>
  <c r="F172" i="1" l="1"/>
  <c r="G172" i="1" s="1"/>
  <c r="G171" i="1"/>
  <c r="F158" i="1"/>
  <c r="G158" i="1" s="1"/>
  <c r="G157" i="1"/>
  <c r="F144" i="1"/>
  <c r="G144" i="1" s="1"/>
  <c r="G143" i="1"/>
  <c r="F130" i="1"/>
  <c r="G130" i="1" s="1"/>
  <c r="G129" i="1"/>
  <c r="F116" i="1"/>
  <c r="G116" i="1" s="1"/>
  <c r="G115" i="1"/>
  <c r="F88" i="1"/>
  <c r="G88" i="1" s="1"/>
  <c r="G87" i="1"/>
  <c r="F74" i="1"/>
  <c r="G74" i="1" s="1"/>
  <c r="G73" i="1"/>
  <c r="F60" i="1"/>
  <c r="G60" i="1" s="1"/>
  <c r="G59" i="1"/>
  <c r="F46" i="1"/>
  <c r="G46" i="1" s="1"/>
  <c r="G45" i="1"/>
</calcChain>
</file>

<file path=xl/sharedStrings.xml><?xml version="1.0" encoding="utf-8"?>
<sst xmlns="http://schemas.openxmlformats.org/spreadsheetml/2006/main" count="86" uniqueCount="8">
  <si>
    <t>Dave</t>
  </si>
  <si>
    <t>SMYS=</t>
  </si>
  <si>
    <t>Hoop stress =</t>
  </si>
  <si>
    <t>percentage =</t>
  </si>
  <si>
    <t>Pressure (Mpa)</t>
  </si>
  <si>
    <t>OD(inches)</t>
  </si>
  <si>
    <t>t(mm)=</t>
  </si>
  <si>
    <t>Pressure (psi)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</si>
</sst>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61650236864203E-2"/>
          <c:y val="0.1151354632292402"/>
          <c:w val="0.75303797727625188"/>
          <c:h val="0.73262877409176452"/>
        </c:manualLayout>
      </c:layout>
      <c:scatterChart>
        <c:scatterStyle val="smoothMarker"/>
        <c:varyColors val="0"/>
        <c:ser>
          <c:idx val="13"/>
          <c:order val="0"/>
          <c:tx>
            <c:v>t=7.4 mm</c:v>
          </c:tx>
          <c:marker>
            <c:symbol val="none"/>
          </c:marker>
          <c:xVal>
            <c:numRef>
              <c:f>Sheet1!$F$192:$F$200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Sheet1!$H$192:$H$200</c:f>
              <c:numCache>
                <c:formatCode>General</c:formatCode>
                <c:ptCount val="9"/>
                <c:pt idx="0">
                  <c:v>14.654287752675391</c:v>
                </c:pt>
                <c:pt idx="1">
                  <c:v>14.523912364233093</c:v>
                </c:pt>
                <c:pt idx="2">
                  <c:v>14.395835041111358</c:v>
                </c:pt>
                <c:pt idx="3">
                  <c:v>14.269995585930129</c:v>
                </c:pt>
                <c:pt idx="4">
                  <c:v>14.146335884543173</c:v>
                </c:pt>
                <c:pt idx="5">
                  <c:v>14.024799816735825</c:v>
                </c:pt>
                <c:pt idx="6">
                  <c:v>13.905333171475473</c:v>
                </c:pt>
                <c:pt idx="7">
                  <c:v>13.787883566446286</c:v>
                </c:pt>
                <c:pt idx="8">
                  <c:v>13.672400371617833</c:v>
                </c:pt>
              </c:numCache>
            </c:numRef>
          </c:yVal>
          <c:smooth val="1"/>
        </c:ser>
        <c:ser>
          <c:idx val="12"/>
          <c:order val="1"/>
          <c:tx>
            <c:v>t=7.3 mm</c:v>
          </c:tx>
          <c:marker>
            <c:symbol val="none"/>
          </c:marker>
          <c:xVal>
            <c:numRef>
              <c:f>Sheet1!$F$178:$F$186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Sheet1!$H$178:$H$186</c:f>
              <c:numCache>
                <c:formatCode>General</c:formatCode>
                <c:ptCount val="9"/>
                <c:pt idx="0">
                  <c:v>14.441191962956228</c:v>
                </c:pt>
                <c:pt idx="1">
                  <c:v>14.312842982546512</c:v>
                </c:pt>
                <c:pt idx="2">
                  <c:v>14.186754104916362</c:v>
                </c:pt>
                <c:pt idx="3">
                  <c:v>14.062866184489527</c:v>
                </c:pt>
                <c:pt idx="4">
                  <c:v>13.941122120583639</c:v>
                </c:pt>
                <c:pt idx="5">
                  <c:v>13.821466769832854</c:v>
                </c:pt>
                <c:pt idx="6">
                  <c:v>13.703846863071213</c:v>
                </c:pt>
                <c:pt idx="7">
                  <c:v>13.588210926413915</c:v>
                </c:pt>
                <c:pt idx="8">
                  <c:v>13.474509206291392</c:v>
                </c:pt>
              </c:numCache>
            </c:numRef>
          </c:yVal>
          <c:smooth val="1"/>
        </c:ser>
        <c:ser>
          <c:idx val="11"/>
          <c:order val="2"/>
          <c:tx>
            <c:v>t=7.2 mm</c:v>
          </c:tx>
          <c:marker>
            <c:symbol val="none"/>
          </c:marker>
          <c:xVal>
            <c:numRef>
              <c:f>Sheet1!$F$164:$F$172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Sheet1!$H$164:$H$172</c:f>
              <c:numCache>
                <c:formatCode>General</c:formatCode>
                <c:ptCount val="9"/>
                <c:pt idx="0">
                  <c:v>14.228536302165153</c:v>
                </c:pt>
                <c:pt idx="1">
                  <c:v>14.102205765783927</c:v>
                </c:pt>
                <c:pt idx="2">
                  <c:v>13.978097583575389</c:v>
                </c:pt>
                <c:pt idx="3">
                  <c:v>13.856153654182027</c:v>
                </c:pt>
                <c:pt idx="4">
                  <c:v>13.736317883133104</c:v>
                </c:pt>
                <c:pt idx="5">
                  <c:v>13.618536096974832</c:v>
                </c:pt>
                <c:pt idx="6">
                  <c:v>13.50275596177031</c:v>
                </c:pt>
                <c:pt idx="7">
                  <c:v>13.388926905711998</c:v>
                </c:pt>
                <c:pt idx="8">
                  <c:v>13.277000045606846</c:v>
                </c:pt>
              </c:numCache>
            </c:numRef>
          </c:yVal>
          <c:smooth val="1"/>
        </c:ser>
        <c:ser>
          <c:idx val="10"/>
          <c:order val="3"/>
          <c:tx>
            <c:v>t=7.1 mm</c:v>
          </c:tx>
          <c:spPr>
            <a:ln>
              <a:prstDash val="lgDash"/>
            </a:ln>
          </c:spPr>
          <c:marker>
            <c:symbol val="none"/>
          </c:marker>
          <c:xVal>
            <c:numRef>
              <c:f>Sheet1!$F$150:$F$158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Sheet1!$H$150:$H$158</c:f>
              <c:numCache>
                <c:formatCode>General</c:formatCode>
                <c:ptCount val="9"/>
                <c:pt idx="0">
                  <c:v>14.016319559077287</c:v>
                </c:pt>
                <c:pt idx="1">
                  <c:v>13.891999534938819</c:v>
                </c:pt>
                <c:pt idx="2">
                  <c:v>13.769864329168305</c:v>
                </c:pt>
                <c:pt idx="3">
                  <c:v>13.649856877091157</c:v>
                </c:pt>
                <c:pt idx="4">
                  <c:v>13.531922083242735</c:v>
                </c:pt>
                <c:pt idx="5">
                  <c:v>13.416006737188868</c:v>
                </c:pt>
                <c:pt idx="6">
                  <c:v>13.302059433626162</c:v>
                </c:pt>
                <c:pt idx="7">
                  <c:v>13.190030496510511</c:v>
                </c:pt>
                <c:pt idx="8">
                  <c:v>13.079871906978953</c:v>
                </c:pt>
              </c:numCache>
            </c:numRef>
          </c:yVal>
          <c:smooth val="1"/>
        </c:ser>
        <c:ser>
          <c:idx val="9"/>
          <c:order val="4"/>
          <c:tx>
            <c:v>t=7.0 mm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Sheet1!$F$136:$F$144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Sheet1!$H$136:$H$144</c:f>
              <c:numCache>
                <c:formatCode>General</c:formatCode>
                <c:ptCount val="9"/>
                <c:pt idx="0">
                  <c:v>13.804540526631465</c:v>
                </c:pt>
                <c:pt idx="1">
                  <c:v>13.68222311502255</c:v>
                </c:pt>
                <c:pt idx="2">
                  <c:v>13.562053197653347</c:v>
                </c:pt>
                <c:pt idx="3">
                  <c:v>13.443974739045297</c:v>
                </c:pt>
                <c:pt idx="4">
                  <c:v>13.327933635580747</c:v>
                </c:pt>
                <c:pt idx="5">
                  <c:v>13.213877632996699</c:v>
                </c:pt>
                <c:pt idx="6">
                  <c:v>13.10175624806952</c:v>
                </c:pt>
                <c:pt idx="7">
                  <c:v>12.991520694244382</c:v>
                </c:pt>
                <c:pt idx="8">
                  <c:v>12.883123810979686</c:v>
                </c:pt>
              </c:numCache>
            </c:numRef>
          </c:yVal>
          <c:smooth val="1"/>
        </c:ser>
        <c:ser>
          <c:idx val="8"/>
          <c:order val="5"/>
          <c:tx>
            <c:v>t=6.9 mm</c:v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Sheet1!$F$122:$F$130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Sheet1!$H$122:$H$130</c:f>
              <c:numCache>
                <c:formatCode>General</c:formatCode>
                <c:ptCount val="9"/>
                <c:pt idx="0">
                  <c:v>13.593198001913064</c:v>
                </c:pt>
                <c:pt idx="1">
                  <c:v>13.472875335047931</c:v>
                </c:pt>
                <c:pt idx="2">
                  <c:v>13.354663048851387</c:v>
                </c:pt>
                <c:pt idx="3">
                  <c:v>13.238506129602646</c:v>
                </c:pt>
                <c:pt idx="4">
                  <c:v>13.124351458417992</c:v>
                </c:pt>
                <c:pt idx="5">
                  <c:v>13.012147730400903</c:v>
                </c:pt>
                <c:pt idx="6">
                  <c:v>12.90184537789527</c:v>
                </c:pt>
                <c:pt idx="7">
                  <c:v>12.793396497600819</c:v>
                </c:pt>
                <c:pt idx="8">
                  <c:v>12.686754781326039</c:v>
                </c:pt>
              </c:numCache>
            </c:numRef>
          </c:yVal>
          <c:smooth val="1"/>
        </c:ser>
        <c:ser>
          <c:idx val="7"/>
          <c:order val="6"/>
          <c:tx>
            <c:v>t=6.8 mm</c:v>
          </c:tx>
          <c:marker>
            <c:symbol val="none"/>
          </c:marker>
          <c:xVal>
            <c:numRef>
              <c:f>Sheet1!$F$108:$F$116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Sheet1!$H$108:$H$116</c:f>
              <c:numCache>
                <c:formatCode>General</c:formatCode>
                <c:ptCount val="9"/>
                <c:pt idx="0">
                  <c:v>13.382290786136943</c:v>
                </c:pt>
                <c:pt idx="1">
                  <c:v>13.263955028012898</c:v>
                </c:pt>
                <c:pt idx="2">
                  <c:v>13.147692746430341</c:v>
                </c:pt>
                <c:pt idx="3">
                  <c:v>13.033449942036251</c:v>
                </c:pt>
                <c:pt idx="4">
                  <c:v>12.921174473613613</c:v>
                </c:pt>
                <c:pt idx="5">
                  <c:v>12.810815978871146</c:v>
                </c:pt>
                <c:pt idx="6">
                  <c:v>12.702325799249264</c:v>
                </c:pt>
                <c:pt idx="7">
                  <c:v>12.595656908506685</c:v>
                </c:pt>
                <c:pt idx="8">
                  <c:v>12.490763844867947</c:v>
                </c:pt>
              </c:numCache>
            </c:numRef>
          </c:yVal>
          <c:smooth val="1"/>
        </c:ser>
        <c:ser>
          <c:idx val="6"/>
          <c:order val="7"/>
          <c:tx>
            <c:v>t=6.7 mm</c:v>
          </c:tx>
          <c:marker>
            <c:symbol val="none"/>
          </c:marker>
          <c:xVal>
            <c:numRef>
              <c:f>Sheet1!$F$94:$F$102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Sheet1!$H$94:$H$102</c:f>
              <c:numCache>
                <c:formatCode>General</c:formatCode>
                <c:ptCount val="9"/>
                <c:pt idx="0">
                  <c:v>13.171817684630419</c:v>
                </c:pt>
                <c:pt idx="1">
                  <c:v>13.055461030884237</c:v>
                </c:pt>
                <c:pt idx="2">
                  <c:v>12.941141157889557</c:v>
                </c:pt>
                <c:pt idx="3">
                  <c:v>12.828805073319103</c:v>
                </c:pt>
                <c:pt idx="4">
                  <c:v>12.718401606600802</c:v>
                </c:pt>
                <c:pt idx="5">
                  <c:v>12.609881331330525</c:v>
                </c:pt>
                <c:pt idx="6">
                  <c:v>12.503196491615205</c:v>
                </c:pt>
                <c:pt idx="7">
                  <c:v>12.398300932115932</c:v>
                </c:pt>
                <c:pt idx="8">
                  <c:v>12.295150031576213</c:v>
                </c:pt>
              </c:numCache>
            </c:numRef>
          </c:yVal>
          <c:smooth val="1"/>
        </c:ser>
        <c:ser>
          <c:idx val="5"/>
          <c:order val="8"/>
          <c:tx>
            <c:v>t=6.6 mm</c:v>
          </c:tx>
          <c:marker>
            <c:symbol val="none"/>
          </c:marker>
          <c:xVal>
            <c:numRef>
              <c:f>Sheet1!$F$80:$F$88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Sheet1!$H$80:$H$88</c:f>
              <c:numCache>
                <c:formatCode>General</c:formatCode>
                <c:ptCount val="9"/>
                <c:pt idx="0">
                  <c:v>12.961777506816372</c:v>
                </c:pt>
                <c:pt idx="1">
                  <c:v>12.847392184581405</c:v>
                </c:pt>
                <c:pt idx="2">
                  <c:v>12.735007154544357</c:v>
                </c:pt>
                <c:pt idx="3">
                  <c:v>12.624570424109301</c:v>
                </c:pt>
                <c:pt idx="4">
                  <c:v>12.516031786372546</c:v>
                </c:pt>
                <c:pt idx="5">
                  <c:v>12.40934274414194</c:v>
                </c:pt>
                <c:pt idx="6">
                  <c:v>12.304456437801621</c:v>
                </c:pt>
                <c:pt idx="7">
                  <c:v>12.201327576797091</c:v>
                </c:pt>
                <c:pt idx="8">
                  <c:v>12.099912374530506</c:v>
                </c:pt>
              </c:numCache>
            </c:numRef>
          </c:yVal>
          <c:smooth val="1"/>
        </c:ser>
        <c:ser>
          <c:idx val="4"/>
          <c:order val="9"/>
          <c:tx>
            <c:v>t=6.5 mm</c:v>
          </c:tx>
          <c:marker>
            <c:symbol val="none"/>
          </c:marker>
          <c:xVal>
            <c:numRef>
              <c:f>Sheet1!$F$66:$F$74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Sheet1!$H$66:$H$74</c:f>
              <c:numCache>
                <c:formatCode>General</c:formatCode>
                <c:ptCount val="9"/>
                <c:pt idx="0">
                  <c:v>12.752169066196393</c:v>
                </c:pt>
                <c:pt idx="1">
                  <c:v>12.63974733396042</c:v>
                </c:pt>
                <c:pt idx="2">
                  <c:v>12.529289611510597</c:v>
                </c:pt>
                <c:pt idx="3">
                  <c:v>12.42074489873529</c:v>
                </c:pt>
                <c:pt idx="4">
                  <c:v>12.314063945467527</c:v>
                </c:pt>
                <c:pt idx="5">
                  <c:v>12.209199177094542</c:v>
                </c:pt>
                <c:pt idx="6">
                  <c:v>12.106104623928839</c:v>
                </c:pt>
                <c:pt idx="7">
                  <c:v>12.004735854120797</c:v>
                </c:pt>
                <c:pt idx="8">
                  <c:v>11.905049909907419</c:v>
                </c:pt>
              </c:numCache>
            </c:numRef>
          </c:yVal>
          <c:smooth val="1"/>
        </c:ser>
        <c:ser>
          <c:idx val="3"/>
          <c:order val="10"/>
          <c:tx>
            <c:v>t=6.4 mm</c:v>
          </c:tx>
          <c:marker>
            <c:symbol val="none"/>
          </c:marker>
          <c:xVal>
            <c:numRef>
              <c:f>Sheet1!$F$52:$F$60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Sheet1!$H$52:$H$60</c:f>
              <c:numCache>
                <c:formatCode>General</c:formatCode>
                <c:ptCount val="9"/>
                <c:pt idx="0">
                  <c:v>12.542991180334024</c:v>
                </c:pt>
                <c:pt idx="1">
                  <c:v>12.432525327797819</c:v>
                </c:pt>
                <c:pt idx="2">
                  <c:v>12.323987407689323</c:v>
                </c:pt>
                <c:pt idx="3">
                  <c:v>12.217327405181159</c:v>
                </c:pt>
                <c:pt idx="4">
                  <c:v>12.112497019956013</c:v>
                </c:pt>
                <c:pt idx="5">
                  <c:v>12.009449593390244</c:v>
                </c:pt>
                <c:pt idx="6">
                  <c:v>11.908140039416077</c:v>
                </c:pt>
                <c:pt idx="7">
                  <c:v>11.808524778847408</c:v>
                </c:pt>
                <c:pt idx="8">
                  <c:v>11.710561676968563</c:v>
                </c:pt>
              </c:numCache>
            </c:numRef>
          </c:yVal>
          <c:smooth val="1"/>
        </c:ser>
        <c:ser>
          <c:idx val="2"/>
          <c:order val="11"/>
          <c:tx>
            <c:v>t=6.3 mm</c:v>
          </c:tx>
          <c:marker>
            <c:symbol val="none"/>
          </c:marker>
          <c:xVal>
            <c:numRef>
              <c:f>Sheet1!$F$38:$F$46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Sheet1!$H$38:$H$46</c:f>
              <c:numCache>
                <c:formatCode>General</c:formatCode>
                <c:ptCount val="9"/>
                <c:pt idx="0">
                  <c:v>12.334242670838096</c:v>
                </c:pt>
                <c:pt idx="1">
                  <c:v>12.225725018774709</c:v>
                </c:pt>
                <c:pt idx="2">
                  <c:v>12.119099425751504</c:v>
                </c:pt>
                <c:pt idx="3">
                  <c:v>12.014316855072021</c:v>
                </c:pt>
                <c:pt idx="4">
                  <c:v>11.911329949425856</c:v>
                </c:pt>
                <c:pt idx="5">
                  <c:v>11.810092959630296</c:v>
                </c:pt>
                <c:pt idx="6">
                  <c:v>11.710561676968563</c:v>
                </c:pt>
                <c:pt idx="7">
                  <c:v>11.612693368914647</c:v>
                </c:pt>
                <c:pt idx="8">
                  <c:v>11.516446718048728</c:v>
                </c:pt>
              </c:numCache>
            </c:numRef>
          </c:yVal>
          <c:smooth val="1"/>
        </c:ser>
        <c:ser>
          <c:idx val="1"/>
          <c:order val="12"/>
          <c:tx>
            <c:v>t=6.2 mm</c:v>
          </c:tx>
          <c:marker>
            <c:symbol val="none"/>
          </c:marker>
          <c:xVal>
            <c:numRef>
              <c:f>Sheet1!$F$24:$F$32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Sheet1!$H$24:$H$32</c:f>
              <c:numCache>
                <c:formatCode>General</c:formatCode>
                <c:ptCount val="9"/>
                <c:pt idx="0">
                  <c:v>12.125922363346127</c:v>
                </c:pt>
                <c:pt idx="1">
                  <c:v>12.019345263460885</c:v>
                </c:pt>
                <c:pt idx="2">
                  <c:v>11.91462455212282</c:v>
                </c:pt>
                <c:pt idx="3">
                  <c:v>11.811712163659458</c:v>
                </c:pt>
                <c:pt idx="4">
                  <c:v>11.710561676968558</c:v>
                </c:pt>
                <c:pt idx="5">
                  <c:v>11.611128245801922</c:v>
                </c:pt>
                <c:pt idx="6">
                  <c:v>11.513368532564723</c:v>
                </c:pt>
                <c:pt idx="7">
                  <c:v>11.417240645425325</c:v>
                </c:pt>
                <c:pt idx="8">
                  <c:v>11.32270407854411</c:v>
                </c:pt>
              </c:numCache>
            </c:numRef>
          </c:yVal>
          <c:smooth val="1"/>
        </c:ser>
        <c:ser>
          <c:idx val="0"/>
          <c:order val="13"/>
          <c:tx>
            <c:v>t=6.1 mm</c:v>
          </c:tx>
          <c:marker>
            <c:symbol val="none"/>
          </c:marker>
          <c:xVal>
            <c:numRef>
              <c:f>Sheet1!$F$10:$F$18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Sheet1!$H$10:$H$18</c:f>
              <c:numCache>
                <c:formatCode>General</c:formatCode>
                <c:ptCount val="9"/>
                <c:pt idx="0">
                  <c:v>11.918029087507808</c:v>
                </c:pt>
                <c:pt idx="1">
                  <c:v>11.813384922299036</c:v>
                </c:pt>
                <c:pt idx="2">
                  <c:v>11.710561676968558</c:v>
                </c:pt>
                <c:pt idx="3">
                  <c:v>11.609512249807027</c:v>
                </c:pt>
                <c:pt idx="4">
                  <c:v>11.510191149165381</c:v>
                </c:pt>
                <c:pt idx="5">
                  <c:v>11.412554425265018</c:v>
                </c:pt>
                <c:pt idx="6">
                  <c:v>11.316559605443443</c:v>
                </c:pt>
                <c:pt idx="7">
                  <c:v>11.222165632635107</c:v>
                </c:pt>
                <c:pt idx="8">
                  <c:v>11.12933280690055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6928"/>
        <c:axId val="103076352"/>
      </c:scatterChart>
      <c:valAx>
        <c:axId val="10307692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076352"/>
        <c:crosses val="autoZero"/>
        <c:crossBetween val="midCat"/>
      </c:valAx>
      <c:valAx>
        <c:axId val="103076352"/>
        <c:scaling>
          <c:orientation val="minMax"/>
          <c:max val="15"/>
          <c:min val="1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07692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61650236864203E-2"/>
          <c:y val="0.1151354632292402"/>
          <c:w val="0.75303797727625188"/>
          <c:h val="0.73262877409176452"/>
        </c:manualLayout>
      </c:layout>
      <c:scatterChart>
        <c:scatterStyle val="smoothMarker"/>
        <c:varyColors val="0"/>
        <c:ser>
          <c:idx val="13"/>
          <c:order val="0"/>
          <c:tx>
            <c:v>t=7.4 mm</c:v>
          </c:tx>
          <c:marker>
            <c:symbol val="none"/>
          </c:marker>
          <c:xVal>
            <c:numRef>
              <c:f>Sheet1!$F$192:$F$200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Sheet1!$I$192:$I$200</c:f>
              <c:numCache>
                <c:formatCode>General</c:formatCode>
                <c:ptCount val="9"/>
                <c:pt idx="0">
                  <c:v>2125.4241907862074</c:v>
                </c:pt>
                <c:pt idx="1">
                  <c:v>2106.5148443099301</c:v>
                </c:pt>
                <c:pt idx="2">
                  <c:v>2087.938803942197</c:v>
                </c:pt>
                <c:pt idx="3">
                  <c:v>2069.6873387934584</c:v>
                </c:pt>
                <c:pt idx="4">
                  <c:v>2051.7520201216075</c:v>
                </c:pt>
                <c:pt idx="5">
                  <c:v>2034.1247083797857</c:v>
                </c:pt>
                <c:pt idx="6">
                  <c:v>2016.7975409245082</c:v>
                </c:pt>
                <c:pt idx="7">
                  <c:v>1999.7629203451665</c:v>
                </c:pt>
                <c:pt idx="8">
                  <c:v>1983.0135033785957</c:v>
                </c:pt>
              </c:numCache>
            </c:numRef>
          </c:yVal>
          <c:smooth val="1"/>
        </c:ser>
        <c:ser>
          <c:idx val="12"/>
          <c:order val="1"/>
          <c:tx>
            <c:v>t=7.3 mm</c:v>
          </c:tx>
          <c:marker>
            <c:symbol val="none"/>
          </c:marker>
          <c:xVal>
            <c:numRef>
              <c:f>Sheet1!$F$178:$F$186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Sheet1!$I$178:$I$186</c:f>
              <c:numCache>
                <c:formatCode>General</c:formatCode>
                <c:ptCount val="9"/>
                <c:pt idx="0">
                  <c:v>2094.5172675656568</c:v>
                </c:pt>
                <c:pt idx="1">
                  <c:v>2075.901826649686</c:v>
                </c:pt>
                <c:pt idx="2">
                  <c:v>2057.6141858426281</c:v>
                </c:pt>
                <c:pt idx="3">
                  <c:v>2039.6457668061366</c:v>
                </c:pt>
                <c:pt idx="4">
                  <c:v>2021.9882877885736</c:v>
                </c:pt>
                <c:pt idx="5">
                  <c:v>2004.6337509229866</c:v>
                </c:pt>
                <c:pt idx="6">
                  <c:v>1987.5744301720638</c:v>
                </c:pt>
                <c:pt idx="7">
                  <c:v>1970.8028598819435</c:v>
                </c:pt>
                <c:pt idx="8">
                  <c:v>1954.3118239093292</c:v>
                </c:pt>
              </c:numCache>
            </c:numRef>
          </c:yVal>
          <c:smooth val="1"/>
        </c:ser>
        <c:ser>
          <c:idx val="11"/>
          <c:order val="2"/>
          <c:tx>
            <c:v>t=7.2 mm</c:v>
          </c:tx>
          <c:marker>
            <c:symbol val="none"/>
          </c:marker>
          <c:xVal>
            <c:numRef>
              <c:f>Sheet1!$F$164:$F$172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Sheet1!$I$164:$I$172</c:f>
              <c:numCache>
                <c:formatCode>General</c:formatCode>
                <c:ptCount val="9"/>
                <c:pt idx="0">
                  <c:v>2063.6741796325391</c:v>
                </c:pt>
                <c:pt idx="1">
                  <c:v>2045.3514891960394</c:v>
                </c:pt>
                <c:pt idx="2">
                  <c:v>2027.3511238973322</c:v>
                </c:pt>
                <c:pt idx="3">
                  <c:v>2009.6646568491565</c:v>
                </c:pt>
                <c:pt idx="4">
                  <c:v>1992.2839522384943</c:v>
                </c:pt>
                <c:pt idx="5">
                  <c:v>1975.2011528722066</c:v>
                </c:pt>
                <c:pt idx="6">
                  <c:v>1958.4086683564537</c:v>
                </c:pt>
                <c:pt idx="7">
                  <c:v>1941.8991638725849</c:v>
                </c:pt>
                <c:pt idx="8">
                  <c:v>1925.665549514712</c:v>
                </c:pt>
              </c:numCache>
            </c:numRef>
          </c:yVal>
          <c:smooth val="1"/>
        </c:ser>
        <c:ser>
          <c:idx val="10"/>
          <c:order val="3"/>
          <c:tx>
            <c:v>t=7.1 mm</c:v>
          </c:tx>
          <c:spPr>
            <a:ln>
              <a:prstDash val="lgDash"/>
            </a:ln>
          </c:spPr>
          <c:marker>
            <c:symbol val="none"/>
          </c:marker>
          <c:xVal>
            <c:numRef>
              <c:f>Sheet1!$F$150:$F$158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Sheet1!$I$150:$I$158</c:f>
              <c:numCache>
                <c:formatCode>General</c:formatCode>
                <c:ptCount val="9"/>
                <c:pt idx="0">
                  <c:v>2032.8947513135838</c:v>
                </c:pt>
                <c:pt idx="1">
                  <c:v>2014.8636609485959</c:v>
                </c:pt>
                <c:pt idx="2">
                  <c:v>1997.149451614614</c:v>
                </c:pt>
                <c:pt idx="3">
                  <c:v>1979.7438467824841</c:v>
                </c:pt>
                <c:pt idx="4">
                  <c:v>1962.6388555327349</c:v>
                </c:pt>
                <c:pt idx="5">
                  <c:v>1945.8267603463778</c:v>
                </c:pt>
                <c:pt idx="6">
                  <c:v>1929.3001055164414</c:v>
                </c:pt>
                <c:pt idx="7">
                  <c:v>1913.0516861437425</c:v>
                </c:pt>
                <c:pt idx="8">
                  <c:v>1897.0745376828413</c:v>
                </c:pt>
              </c:numCache>
            </c:numRef>
          </c:yVal>
          <c:smooth val="1"/>
        </c:ser>
        <c:ser>
          <c:idx val="9"/>
          <c:order val="4"/>
          <c:tx>
            <c:v>t=7.0 mm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Sheet1!$F$136:$F$144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Sheet1!$I$136:$I$144</c:f>
              <c:numCache>
                <c:formatCode>General</c:formatCode>
                <c:ptCount val="9"/>
                <c:pt idx="0">
                  <c:v>2002.1788075394165</c:v>
                </c:pt>
                <c:pt idx="1">
                  <c:v>1984.4381714897061</c:v>
                </c:pt>
                <c:pt idx="2">
                  <c:v>1967.0090030652868</c:v>
                </c:pt>
                <c:pt idx="3">
                  <c:v>1949.8831750092302</c:v>
                </c:pt>
                <c:pt idx="4">
                  <c:v>1933.0528402572697</c:v>
                </c:pt>
                <c:pt idx="5">
                  <c:v>1916.5104199712853</c:v>
                </c:pt>
                <c:pt idx="6">
                  <c:v>1900.2485921806326</c:v>
                </c:pt>
                <c:pt idx="7">
                  <c:v>1884.2602809956086</c:v>
                </c:pt>
                <c:pt idx="8">
                  <c:v>1868.5386463597285</c:v>
                </c:pt>
              </c:numCache>
            </c:numRef>
          </c:yVal>
          <c:smooth val="1"/>
        </c:ser>
        <c:ser>
          <c:idx val="8"/>
          <c:order val="5"/>
          <c:tx>
            <c:v>t=6.9 mm</c:v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Sheet1!$F$122:$F$130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Sheet1!$I$122:$I$130</c:f>
              <c:numCache>
                <c:formatCode>General</c:formatCode>
                <c:ptCount val="9"/>
                <c:pt idx="0">
                  <c:v>1971.5261738420666</c:v>
                </c:pt>
                <c:pt idx="1">
                  <c:v>1954.0748509820812</c:v>
                </c:pt>
                <c:pt idx="2">
                  <c:v>1936.9296128803928</c:v>
                </c:pt>
                <c:pt idx="3">
                  <c:v>1920.0824804734698</c:v>
                </c:pt>
                <c:pt idx="4">
                  <c:v>1903.5257495205913</c:v>
                </c:pt>
                <c:pt idx="5">
                  <c:v>1887.2519788775671</c:v>
                </c:pt>
                <c:pt idx="6">
                  <c:v>1871.2539793655608</c:v>
                </c:pt>
                <c:pt idx="7">
                  <c:v>1855.5248032000784</c:v>
                </c:pt>
                <c:pt idx="8">
                  <c:v>1840.0577339475317</c:v>
                </c:pt>
              </c:numCache>
            </c:numRef>
          </c:yVal>
          <c:smooth val="1"/>
        </c:ser>
        <c:ser>
          <c:idx val="7"/>
          <c:order val="6"/>
          <c:tx>
            <c:v>t=6.8 mm</c:v>
          </c:tx>
          <c:marker>
            <c:symbol val="none"/>
          </c:marker>
          <c:xVal>
            <c:numRef>
              <c:f>Sheet1!$F$108:$F$116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Sheet1!$I$108:$I$116</c:f>
              <c:numCache>
                <c:formatCode>General</c:formatCode>
                <c:ptCount val="9"/>
                <c:pt idx="0">
                  <c:v>1940.9366763524943</c:v>
                </c:pt>
                <c:pt idx="1">
                  <c:v>1923.7735301664263</c:v>
                </c:pt>
                <c:pt idx="2">
                  <c:v>1906.9111162489398</c:v>
                </c:pt>
                <c:pt idx="3">
                  <c:v>1890.3416026580712</c:v>
                </c:pt>
                <c:pt idx="4">
                  <c:v>1874.0574269516292</c:v>
                </c:pt>
                <c:pt idx="5">
                  <c:v>1858.0512846987197</c:v>
                </c:pt>
                <c:pt idx="6">
                  <c:v>1842.3161185737749</c:v>
                </c:pt>
                <c:pt idx="7">
                  <c:v>1826.84510799892</c:v>
                </c:pt>
                <c:pt idx="8">
                  <c:v>1811.6316593028039</c:v>
                </c:pt>
              </c:numCache>
            </c:numRef>
          </c:yVal>
          <c:smooth val="1"/>
        </c:ser>
        <c:ser>
          <c:idx val="6"/>
          <c:order val="7"/>
          <c:tx>
            <c:v>t=6.7 mm</c:v>
          </c:tx>
          <c:marker>
            <c:symbol val="none"/>
          </c:marker>
          <c:xVal>
            <c:numRef>
              <c:f>Sheet1!$F$94:$F$102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Sheet1!$I$94:$I$102</c:f>
              <c:numCache>
                <c:formatCode>General</c:formatCode>
                <c:ptCount val="9"/>
                <c:pt idx="0">
                  <c:v>1910.4101417981212</c:v>
                </c:pt>
                <c:pt idx="1">
                  <c:v>1893.5340403590787</c:v>
                </c:pt>
                <c:pt idx="2">
                  <c:v>1876.9533489156383</c:v>
                </c:pt>
                <c:pt idx="3">
                  <c:v>1860.660381582534</c:v>
                </c:pt>
                <c:pt idx="4">
                  <c:v>1844.6477166976852</c:v>
                </c:pt>
                <c:pt idx="5">
                  <c:v>1828.9081855691174</c:v>
                </c:pt>
                <c:pt idx="6">
                  <c:v>1813.4348617919386</c:v>
                </c:pt>
                <c:pt idx="7">
                  <c:v>1798.2210511019509</c:v>
                </c:pt>
                <c:pt idx="8">
                  <c:v>1783.2602817347413</c:v>
                </c:pt>
              </c:numCache>
            </c:numRef>
          </c:yVal>
          <c:smooth val="1"/>
        </c:ser>
        <c:ser>
          <c:idx val="5"/>
          <c:order val="8"/>
          <c:tx>
            <c:v>t=6.6 mm</c:v>
          </c:tx>
          <c:marker>
            <c:symbol val="none"/>
          </c:marker>
          <c:xVal>
            <c:numRef>
              <c:f>Sheet1!$F$80:$F$88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Sheet1!$I$80:$I$88</c:f>
              <c:numCache>
                <c:formatCode>General</c:formatCode>
                <c:ptCount val="9"/>
                <c:pt idx="0">
                  <c:v>1879.946397500381</c:v>
                </c:pt>
                <c:pt idx="1">
                  <c:v>1863.3562134496626</c:v>
                </c:pt>
                <c:pt idx="2">
                  <c:v>1847.0561471786582</c:v>
                </c:pt>
                <c:pt idx="3">
                  <c:v>1831.0386578008377</c:v>
                </c:pt>
                <c:pt idx="4">
                  <c:v>1815.2964634223654</c:v>
                </c:pt>
                <c:pt idx="5">
                  <c:v>1799.8225301220355</c:v>
                </c:pt>
                <c:pt idx="6">
                  <c:v>1784.6100614889401</c:v>
                </c:pt>
                <c:pt idx="7">
                  <c:v>1769.6524886852235</c:v>
                </c:pt>
                <c:pt idx="8">
                  <c:v>1754.9434610034432</c:v>
                </c:pt>
              </c:numCache>
            </c:numRef>
          </c:yVal>
          <c:smooth val="1"/>
        </c:ser>
        <c:ser>
          <c:idx val="4"/>
          <c:order val="9"/>
          <c:tx>
            <c:v>t=6.5 mm</c:v>
          </c:tx>
          <c:marker>
            <c:symbol val="none"/>
          </c:marker>
          <c:xVal>
            <c:numRef>
              <c:f>Sheet1!$F$66:$F$74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Sheet1!$I$66:$I$74</c:f>
              <c:numCache>
                <c:formatCode>General</c:formatCode>
                <c:ptCount val="9"/>
                <c:pt idx="0">
                  <c:v>1849.5452713722725</c:v>
                </c:pt>
                <c:pt idx="1">
                  <c:v>1833.2398818987513</c:v>
                </c:pt>
                <c:pt idx="2">
                  <c:v>1817.2193478873905</c:v>
                </c:pt>
                <c:pt idx="3">
                  <c:v>1801.4762723992994</c:v>
                </c:pt>
                <c:pt idx="4">
                  <c:v>1786.0035123035357</c:v>
                </c:pt>
                <c:pt idx="5">
                  <c:v>1770.7941674876849</c:v>
                </c:pt>
                <c:pt idx="6">
                  <c:v>1755.8415706140038</c:v>
                </c:pt>
                <c:pt idx="7">
                  <c:v>1741.139277389216</c:v>
                </c:pt>
                <c:pt idx="8">
                  <c:v>1726.6810573181792</c:v>
                </c:pt>
              </c:numCache>
            </c:numRef>
          </c:yVal>
          <c:smooth val="1"/>
        </c:ser>
        <c:ser>
          <c:idx val="3"/>
          <c:order val="10"/>
          <c:tx>
            <c:v>t=6.4 mm</c:v>
          </c:tx>
          <c:marker>
            <c:symbol val="none"/>
          </c:marker>
          <c:xVal>
            <c:numRef>
              <c:f>Sheet1!$F$52:$F$60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Sheet1!$I$52:$I$60</c:f>
              <c:numCache>
                <c:formatCode>General</c:formatCode>
                <c:ptCount val="9"/>
                <c:pt idx="0">
                  <c:v>1819.206591915932</c:v>
                </c:pt>
                <c:pt idx="1">
                  <c:v>1803.1848787355418</c:v>
                </c:pt>
                <c:pt idx="2">
                  <c:v>1787.4427884402216</c:v>
                </c:pt>
                <c:pt idx="3">
                  <c:v>1771.9730669944433</c:v>
                </c:pt>
                <c:pt idx="4">
                  <c:v>1756.7687090312743</c:v>
                </c:pt>
                <c:pt idx="5">
                  <c:v>1741.8229472912562</c:v>
                </c:pt>
                <c:pt idx="6">
                  <c:v>1727.1292425948172</c:v>
                </c:pt>
                <c:pt idx="7">
                  <c:v>1712.6812743170367</c:v>
                </c:pt>
                <c:pt idx="8">
                  <c:v>1698.4729313356634</c:v>
                </c:pt>
              </c:numCache>
            </c:numRef>
          </c:yVal>
          <c:smooth val="1"/>
        </c:ser>
        <c:ser>
          <c:idx val="2"/>
          <c:order val="11"/>
          <c:tx>
            <c:v>t=6.3 mm</c:v>
          </c:tx>
          <c:marker>
            <c:symbol val="none"/>
          </c:marker>
          <c:xVal>
            <c:numRef>
              <c:f>Sheet1!$F$38:$F$46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Sheet1!$I$38:$I$46</c:f>
              <c:numCache>
                <c:formatCode>General</c:formatCode>
                <c:ptCount val="9"/>
                <c:pt idx="0">
                  <c:v>1788.9301882202144</c:v>
                </c:pt>
                <c:pt idx="1">
                  <c:v>1773.1910375555406</c:v>
                </c:pt>
                <c:pt idx="2">
                  <c:v>1757.7263067823189</c:v>
                </c:pt>
                <c:pt idx="3">
                  <c:v>1742.5288837308792</c:v>
                </c:pt>
                <c:pt idx="4">
                  <c:v>1727.5918998058423</c:v>
                </c:pt>
                <c:pt idx="5">
                  <c:v>1712.9087196509711</c:v>
                </c:pt>
                <c:pt idx="6">
                  <c:v>1698.4729313356634</c:v>
                </c:pt>
                <c:pt idx="7">
                  <c:v>1684.278337032632</c:v>
                </c:pt>
                <c:pt idx="8">
                  <c:v>1670.3189441583361</c:v>
                </c:pt>
              </c:numCache>
            </c:numRef>
          </c:yVal>
          <c:smooth val="1"/>
        </c:ser>
        <c:ser>
          <c:idx val="1"/>
          <c:order val="12"/>
          <c:tx>
            <c:v>t=6.2 mm</c:v>
          </c:tx>
          <c:marker>
            <c:symbol val="none"/>
          </c:marker>
          <c:xVal>
            <c:numRef>
              <c:f>Sheet1!$F$24:$F$32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Sheet1!$I$24:$I$32</c:f>
              <c:numCache>
                <c:formatCode>General</c:formatCode>
                <c:ptCount val="9"/>
                <c:pt idx="0">
                  <c:v>1758.7158899582867</c:v>
                </c:pt>
                <c:pt idx="1">
                  <c:v>1743.2581925182608</c:v>
                </c:pt>
                <c:pt idx="2">
                  <c:v>1728.0697414034239</c:v>
                </c:pt>
                <c:pt idx="3">
                  <c:v>1713.1435652791913</c:v>
                </c:pt>
                <c:pt idx="4">
                  <c:v>1698.4729313356627</c:v>
                </c:pt>
                <c:pt idx="5">
                  <c:v>1684.0513351761454</c:v>
                </c:pt>
                <c:pt idx="6">
                  <c:v>1669.8724912155626</c:v>
                </c:pt>
                <c:pt idx="7">
                  <c:v>1655.9303235590048</c:v>
                </c:pt>
                <c:pt idx="8">
                  <c:v>1642.2189573326571</c:v>
                </c:pt>
              </c:numCache>
            </c:numRef>
          </c:yVal>
          <c:smooth val="1"/>
        </c:ser>
        <c:ser>
          <c:idx val="0"/>
          <c:order val="13"/>
          <c:tx>
            <c:v>t=6.1 mm</c:v>
          </c:tx>
          <c:marker>
            <c:symbol val="none"/>
          </c:marker>
          <c:xVal>
            <c:numRef>
              <c:f>Sheet1!$F$10:$F$18</c:f>
              <c:numCache>
                <c:formatCode>General</c:formatCode>
                <c:ptCount val="9"/>
                <c:pt idx="0">
                  <c:v>12</c:v>
                </c:pt>
                <c:pt idx="1">
                  <c:v>12.1</c:v>
                </c:pt>
                <c:pt idx="2">
                  <c:v>12.2</c:v>
                </c:pt>
                <c:pt idx="3">
                  <c:v>12.299999999999999</c:v>
                </c:pt>
                <c:pt idx="4">
                  <c:v>12.399999999999999</c:v>
                </c:pt>
                <c:pt idx="5">
                  <c:v>12.499999999999998</c:v>
                </c:pt>
                <c:pt idx="6">
                  <c:v>12.599999999999998</c:v>
                </c:pt>
                <c:pt idx="7">
                  <c:v>12.699999999999998</c:v>
                </c:pt>
                <c:pt idx="8">
                  <c:v>12.799999999999997</c:v>
                </c:pt>
              </c:numCache>
            </c:numRef>
          </c:xVal>
          <c:yVal>
            <c:numRef>
              <c:f>Sheet1!$I$10:$I$18</c:f>
              <c:numCache>
                <c:formatCode>General</c:formatCode>
                <c:ptCount val="9"/>
                <c:pt idx="0">
                  <c:v>1728.5635273852313</c:v>
                </c:pt>
                <c:pt idx="1">
                  <c:v>1713.3861783449311</c:v>
                </c:pt>
                <c:pt idx="2">
                  <c:v>1698.4729313356627</c:v>
                </c:pt>
                <c:pt idx="3">
                  <c:v>1683.8169548338367</c:v>
                </c:pt>
                <c:pt idx="4">
                  <c:v>1669.4116508353038</c:v>
                </c:pt>
                <c:pt idx="5">
                  <c:v>1655.2506449652601</c:v>
                </c:pt>
                <c:pt idx="6">
                  <c:v>1641.3277770864245</c:v>
                </c:pt>
                <c:pt idx="7">
                  <c:v>1627.6370923764409</c:v>
                </c:pt>
                <c:pt idx="8">
                  <c:v>1614.1728328473998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65856"/>
        <c:axId val="168280064"/>
      </c:scatterChart>
      <c:valAx>
        <c:axId val="13366585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8280064"/>
        <c:crosses val="autoZero"/>
        <c:crossBetween val="midCat"/>
      </c:valAx>
      <c:valAx>
        <c:axId val="168280064"/>
        <c:scaling>
          <c:orientation val="minMax"/>
          <c:max val="2200"/>
          <c:min val="16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36658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123825</xdr:rowOff>
        </xdr:from>
        <xdr:to>
          <xdr:col>4</xdr:col>
          <xdr:colOff>457200</xdr:colOff>
          <xdr:row>14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66674</xdr:colOff>
      <xdr:row>10</xdr:row>
      <xdr:rowOff>80961</xdr:rowOff>
    </xdr:from>
    <xdr:to>
      <xdr:col>24</xdr:col>
      <xdr:colOff>76199</xdr:colOff>
      <xdr:row>40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24</xdr:col>
      <xdr:colOff>9525</xdr:colOff>
      <xdr:row>73</xdr:row>
      <xdr:rowOff>80964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0.00223</cdr:x>
      <cdr:y>0.02712</cdr:y>
    </cdr:from>
    <cdr:to>
      <cdr:x>0.21851</cdr:x>
      <cdr:y>0.07806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051" y="157164"/>
          <a:ext cx="18478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Pressure [MPa]</a:t>
          </a:r>
        </a:p>
      </cdr:txBody>
    </cdr:sp>
  </cdr:relSizeAnchor>
  <cdr:relSizeAnchor xmlns:cdr="http://schemas.openxmlformats.org/drawingml/2006/chartDrawing">
    <cdr:from>
      <cdr:x>0.301</cdr:x>
      <cdr:y>0.92112</cdr:y>
    </cdr:from>
    <cdr:to>
      <cdr:x>0.61316</cdr:x>
      <cdr:y>0.98028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571751" y="5338764"/>
          <a:ext cx="2667000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CA" sz="1800" b="1" i="0"/>
            <a:t>OD (inches)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0.00223</cdr:x>
      <cdr:y>0.02712</cdr:y>
    </cdr:from>
    <cdr:to>
      <cdr:x>0.21851</cdr:x>
      <cdr:y>0.07806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051" y="157164"/>
          <a:ext cx="18478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800" b="1"/>
            <a:t>Pressure [psi]</a:t>
          </a:r>
        </a:p>
      </cdr:txBody>
    </cdr:sp>
  </cdr:relSizeAnchor>
  <cdr:relSizeAnchor xmlns:cdr="http://schemas.openxmlformats.org/drawingml/2006/chartDrawing">
    <cdr:from>
      <cdr:x>0.301</cdr:x>
      <cdr:y>0.92112</cdr:y>
    </cdr:from>
    <cdr:to>
      <cdr:x>0.61316</cdr:x>
      <cdr:y>0.98028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571751" y="5338764"/>
          <a:ext cx="2667000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CA" sz="1800" b="1" i="0"/>
            <a:t>OD (inches)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K214"/>
  <sheetViews>
    <sheetView tabSelected="1" topLeftCell="A4" workbookViewId="0">
      <pane ySplit="2" topLeftCell="A6" activePane="bottomLeft" state="frozen"/>
      <selection activeCell="A4" sqref="A4"/>
      <selection pane="bottomLeft" activeCell="K44" sqref="K44"/>
    </sheetView>
  </sheetViews>
  <sheetFormatPr defaultRowHeight="15" x14ac:dyDescent="0.25"/>
  <cols>
    <col min="6" max="6" width="10.85546875" bestFit="1" customWidth="1"/>
    <col min="8" max="8" width="14.5703125" bestFit="1" customWidth="1"/>
    <col min="9" max="9" width="14.7109375" bestFit="1" customWidth="1"/>
    <col min="10" max="10" width="12.7109375" bestFit="1" customWidth="1"/>
  </cols>
  <sheetData>
    <row r="5" spans="1:11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</row>
    <row r="7" spans="1:11" x14ac:dyDescent="0.25">
      <c r="J7" s="4" t="s">
        <v>3</v>
      </c>
      <c r="K7" s="1">
        <v>0.8</v>
      </c>
    </row>
    <row r="8" spans="1:11" x14ac:dyDescent="0.25">
      <c r="F8" s="4" t="s">
        <v>6</v>
      </c>
      <c r="G8" s="1">
        <v>6.1</v>
      </c>
      <c r="H8" s="4" t="s">
        <v>1</v>
      </c>
      <c r="I8" s="1">
        <v>350</v>
      </c>
      <c r="J8" s="4" t="s">
        <v>2</v>
      </c>
      <c r="K8" s="1">
        <f>$K$7*$I$8</f>
        <v>280</v>
      </c>
    </row>
    <row r="9" spans="1:11" x14ac:dyDescent="0.25">
      <c r="F9" s="3" t="s">
        <v>5</v>
      </c>
      <c r="G9" s="3" t="s">
        <v>0</v>
      </c>
      <c r="H9" s="3" t="s">
        <v>4</v>
      </c>
      <c r="I9" s="3" t="s">
        <v>7</v>
      </c>
    </row>
    <row r="10" spans="1:11" x14ac:dyDescent="0.25">
      <c r="F10" s="2">
        <v>12</v>
      </c>
      <c r="G10" s="2">
        <f>F10-$G$8</f>
        <v>5.9</v>
      </c>
      <c r="H10" s="2">
        <v>11.918029087507808</v>
      </c>
      <c r="I10" s="2">
        <v>1728.5635273852313</v>
      </c>
    </row>
    <row r="11" spans="1:11" x14ac:dyDescent="0.25">
      <c r="F11" s="2">
        <f>F10+0.1</f>
        <v>12.1</v>
      </c>
      <c r="G11" s="2">
        <f t="shared" ref="G11:G18" si="0">F11-$G$8</f>
        <v>6</v>
      </c>
      <c r="H11" s="2">
        <v>11.813384922299036</v>
      </c>
      <c r="I11" s="2">
        <v>1713.3861783449311</v>
      </c>
    </row>
    <row r="12" spans="1:11" x14ac:dyDescent="0.25">
      <c r="F12" s="2">
        <f>F11+0.1</f>
        <v>12.2</v>
      </c>
      <c r="G12" s="2">
        <f t="shared" si="0"/>
        <v>6.1</v>
      </c>
      <c r="H12" s="2">
        <v>11.710561676968558</v>
      </c>
      <c r="I12" s="2">
        <v>1698.4729313356627</v>
      </c>
    </row>
    <row r="13" spans="1:11" x14ac:dyDescent="0.25">
      <c r="F13" s="2">
        <f t="shared" ref="F13:F18" si="1">F12+0.1</f>
        <v>12.299999999999999</v>
      </c>
      <c r="G13" s="2">
        <f t="shared" si="0"/>
        <v>6.1999999999999993</v>
      </c>
      <c r="H13" s="2">
        <v>11.609512249807027</v>
      </c>
      <c r="I13" s="2">
        <v>1683.8169548338367</v>
      </c>
    </row>
    <row r="14" spans="1:11" x14ac:dyDescent="0.25">
      <c r="F14" s="2">
        <f t="shared" si="1"/>
        <v>12.399999999999999</v>
      </c>
      <c r="G14" s="2">
        <f t="shared" si="0"/>
        <v>6.2999999999999989</v>
      </c>
      <c r="H14" s="2">
        <v>11.510191149165381</v>
      </c>
      <c r="I14" s="2">
        <v>1669.4116508353038</v>
      </c>
    </row>
    <row r="15" spans="1:11" x14ac:dyDescent="0.25">
      <c r="F15" s="2">
        <f t="shared" si="1"/>
        <v>12.499999999999998</v>
      </c>
      <c r="G15" s="2">
        <f t="shared" si="0"/>
        <v>6.3999999999999986</v>
      </c>
      <c r="H15" s="2">
        <v>11.412554425265018</v>
      </c>
      <c r="I15" s="2">
        <v>1655.2506449652601</v>
      </c>
    </row>
    <row r="16" spans="1:11" x14ac:dyDescent="0.25">
      <c r="F16" s="2">
        <f t="shared" si="1"/>
        <v>12.599999999999998</v>
      </c>
      <c r="G16" s="2">
        <f t="shared" si="0"/>
        <v>6.4999999999999982</v>
      </c>
      <c r="H16" s="2">
        <v>11.316559605443443</v>
      </c>
      <c r="I16" s="2">
        <v>1641.3277770864245</v>
      </c>
    </row>
    <row r="17" spans="6:11" x14ac:dyDescent="0.25">
      <c r="F17" s="2">
        <f t="shared" si="1"/>
        <v>12.699999999999998</v>
      </c>
      <c r="G17" s="2">
        <f t="shared" si="0"/>
        <v>6.5999999999999979</v>
      </c>
      <c r="H17" s="2">
        <v>11.222165632635107</v>
      </c>
      <c r="I17" s="2">
        <v>1627.6370923764409</v>
      </c>
    </row>
    <row r="18" spans="6:11" x14ac:dyDescent="0.25">
      <c r="F18" s="2">
        <f t="shared" si="1"/>
        <v>12.799999999999997</v>
      </c>
      <c r="G18" s="2">
        <f t="shared" si="0"/>
        <v>6.6999999999999975</v>
      </c>
      <c r="H18" s="2">
        <v>11.12933280690055</v>
      </c>
      <c r="I18" s="2">
        <v>1614.1728328473998</v>
      </c>
    </row>
    <row r="21" spans="6:11" x14ac:dyDescent="0.25">
      <c r="J21" s="4"/>
      <c r="K21" s="1"/>
    </row>
    <row r="22" spans="6:11" x14ac:dyDescent="0.25">
      <c r="F22" s="4" t="s">
        <v>6</v>
      </c>
      <c r="G22" s="1">
        <v>6.2</v>
      </c>
      <c r="H22" s="4" t="s">
        <v>1</v>
      </c>
      <c r="I22" s="1">
        <v>350</v>
      </c>
      <c r="J22" s="4"/>
      <c r="K22" s="1"/>
    </row>
    <row r="23" spans="6:11" x14ac:dyDescent="0.25">
      <c r="F23" s="3" t="s">
        <v>5</v>
      </c>
      <c r="G23" s="3" t="s">
        <v>0</v>
      </c>
      <c r="H23" s="3" t="s">
        <v>4</v>
      </c>
      <c r="I23" s="3" t="s">
        <v>7</v>
      </c>
    </row>
    <row r="24" spans="6:11" x14ac:dyDescent="0.25">
      <c r="F24" s="2">
        <v>12</v>
      </c>
      <c r="G24" s="2">
        <f>F24-$G$8</f>
        <v>5.9</v>
      </c>
      <c r="H24" s="2">
        <v>12.125922363346127</v>
      </c>
      <c r="I24" s="2">
        <v>1758.7158899582867</v>
      </c>
    </row>
    <row r="25" spans="6:11" x14ac:dyDescent="0.25">
      <c r="F25" s="2">
        <f>F24+0.1</f>
        <v>12.1</v>
      </c>
      <c r="G25" s="2">
        <f t="shared" ref="G25:G32" si="2">F25-$G$8</f>
        <v>6</v>
      </c>
      <c r="H25" s="2">
        <v>12.019345263460885</v>
      </c>
      <c r="I25" s="2">
        <v>1743.2581925182608</v>
      </c>
    </row>
    <row r="26" spans="6:11" x14ac:dyDescent="0.25">
      <c r="F26" s="2">
        <f>F25+0.1</f>
        <v>12.2</v>
      </c>
      <c r="G26" s="2">
        <f t="shared" si="2"/>
        <v>6.1</v>
      </c>
      <c r="H26" s="2">
        <v>11.91462455212282</v>
      </c>
      <c r="I26" s="2">
        <v>1728.0697414034239</v>
      </c>
    </row>
    <row r="27" spans="6:11" x14ac:dyDescent="0.25">
      <c r="F27" s="2">
        <f t="shared" ref="F27:F32" si="3">F26+0.1</f>
        <v>12.299999999999999</v>
      </c>
      <c r="G27" s="2">
        <f t="shared" si="2"/>
        <v>6.1999999999999993</v>
      </c>
      <c r="H27" s="2">
        <v>11.811712163659458</v>
      </c>
      <c r="I27" s="2">
        <v>1713.1435652791913</v>
      </c>
    </row>
    <row r="28" spans="6:11" x14ac:dyDescent="0.25">
      <c r="F28" s="2">
        <f t="shared" si="3"/>
        <v>12.399999999999999</v>
      </c>
      <c r="G28" s="2">
        <f t="shared" si="2"/>
        <v>6.2999999999999989</v>
      </c>
      <c r="H28" s="2">
        <v>11.710561676968558</v>
      </c>
      <c r="I28" s="2">
        <v>1698.4729313356627</v>
      </c>
    </row>
    <row r="29" spans="6:11" x14ac:dyDescent="0.25">
      <c r="F29" s="2">
        <f t="shared" si="3"/>
        <v>12.499999999999998</v>
      </c>
      <c r="G29" s="2">
        <f t="shared" si="2"/>
        <v>6.3999999999999986</v>
      </c>
      <c r="H29" s="2">
        <v>11.611128245801922</v>
      </c>
      <c r="I29" s="2">
        <v>1684.0513351761454</v>
      </c>
    </row>
    <row r="30" spans="6:11" x14ac:dyDescent="0.25">
      <c r="F30" s="2">
        <f t="shared" si="3"/>
        <v>12.599999999999998</v>
      </c>
      <c r="G30" s="2">
        <f t="shared" si="2"/>
        <v>6.4999999999999982</v>
      </c>
      <c r="H30" s="2">
        <v>11.513368532564723</v>
      </c>
      <c r="I30" s="2">
        <v>1669.8724912155626</v>
      </c>
    </row>
    <row r="31" spans="6:11" x14ac:dyDescent="0.25">
      <c r="F31" s="2">
        <f t="shared" si="3"/>
        <v>12.699999999999998</v>
      </c>
      <c r="G31" s="2">
        <f t="shared" si="2"/>
        <v>6.5999999999999979</v>
      </c>
      <c r="H31" s="2">
        <v>11.417240645425325</v>
      </c>
      <c r="I31" s="2">
        <v>1655.9303235590048</v>
      </c>
    </row>
    <row r="32" spans="6:11" x14ac:dyDescent="0.25">
      <c r="F32" s="2">
        <f t="shared" si="3"/>
        <v>12.799999999999997</v>
      </c>
      <c r="G32" s="2">
        <f t="shared" si="2"/>
        <v>6.6999999999999975</v>
      </c>
      <c r="H32" s="2">
        <v>11.32270407854411</v>
      </c>
      <c r="I32" s="2">
        <v>1642.2189573326571</v>
      </c>
    </row>
    <row r="35" spans="6:11" x14ac:dyDescent="0.25">
      <c r="J35" s="4"/>
      <c r="K35" s="1"/>
    </row>
    <row r="36" spans="6:11" x14ac:dyDescent="0.25">
      <c r="F36" s="4" t="s">
        <v>6</v>
      </c>
      <c r="G36" s="1">
        <v>6.3</v>
      </c>
      <c r="H36" s="4" t="s">
        <v>1</v>
      </c>
      <c r="I36" s="1">
        <v>350</v>
      </c>
      <c r="J36" s="4"/>
      <c r="K36" s="1"/>
    </row>
    <row r="37" spans="6:11" x14ac:dyDescent="0.25">
      <c r="F37" s="3" t="s">
        <v>5</v>
      </c>
      <c r="G37" s="3" t="s">
        <v>0</v>
      </c>
      <c r="H37" s="3" t="s">
        <v>4</v>
      </c>
      <c r="I37" s="3" t="s">
        <v>7</v>
      </c>
    </row>
    <row r="38" spans="6:11" x14ac:dyDescent="0.25">
      <c r="F38" s="2">
        <v>12</v>
      </c>
      <c r="G38" s="2">
        <f>F38-$G$8</f>
        <v>5.9</v>
      </c>
      <c r="H38" s="2">
        <v>12.334242670838096</v>
      </c>
      <c r="I38" s="2">
        <v>1788.9301882202144</v>
      </c>
    </row>
    <row r="39" spans="6:11" x14ac:dyDescent="0.25">
      <c r="F39" s="2">
        <f>F38+0.1</f>
        <v>12.1</v>
      </c>
      <c r="G39" s="2">
        <f t="shared" ref="G39:G46" si="4">F39-$G$8</f>
        <v>6</v>
      </c>
      <c r="H39" s="2">
        <v>12.225725018774709</v>
      </c>
      <c r="I39" s="2">
        <v>1773.1910375555406</v>
      </c>
    </row>
    <row r="40" spans="6:11" x14ac:dyDescent="0.25">
      <c r="F40" s="2">
        <f>F39+0.1</f>
        <v>12.2</v>
      </c>
      <c r="G40" s="2">
        <f t="shared" si="4"/>
        <v>6.1</v>
      </c>
      <c r="H40" s="2">
        <v>12.119099425751504</v>
      </c>
      <c r="I40" s="2">
        <v>1757.7263067823189</v>
      </c>
    </row>
    <row r="41" spans="6:11" x14ac:dyDescent="0.25">
      <c r="F41" s="2">
        <f t="shared" ref="F41:F46" si="5">F40+0.1</f>
        <v>12.299999999999999</v>
      </c>
      <c r="G41" s="2">
        <f t="shared" si="4"/>
        <v>6.1999999999999993</v>
      </c>
      <c r="H41" s="2">
        <v>12.014316855072021</v>
      </c>
      <c r="I41" s="2">
        <v>1742.5288837308792</v>
      </c>
    </row>
    <row r="42" spans="6:11" x14ac:dyDescent="0.25">
      <c r="F42" s="2">
        <f t="shared" si="5"/>
        <v>12.399999999999999</v>
      </c>
      <c r="G42" s="2">
        <f t="shared" si="4"/>
        <v>6.2999999999999989</v>
      </c>
      <c r="H42" s="2">
        <v>11.911329949425856</v>
      </c>
      <c r="I42" s="2">
        <v>1727.5918998058423</v>
      </c>
    </row>
    <row r="43" spans="6:11" x14ac:dyDescent="0.25">
      <c r="F43" s="2">
        <f t="shared" si="5"/>
        <v>12.499999999999998</v>
      </c>
      <c r="G43" s="2">
        <f t="shared" si="4"/>
        <v>6.3999999999999986</v>
      </c>
      <c r="H43" s="2">
        <v>11.810092959630296</v>
      </c>
      <c r="I43" s="2">
        <v>1712.9087196509711</v>
      </c>
    </row>
    <row r="44" spans="6:11" x14ac:dyDescent="0.25">
      <c r="F44" s="2">
        <f t="shared" si="5"/>
        <v>12.599999999999998</v>
      </c>
      <c r="G44" s="2">
        <f t="shared" si="4"/>
        <v>6.4999999999999982</v>
      </c>
      <c r="H44" s="2">
        <v>11.710561676968563</v>
      </c>
      <c r="I44" s="2">
        <v>1698.4729313356634</v>
      </c>
    </row>
    <row r="45" spans="6:11" x14ac:dyDescent="0.25">
      <c r="F45" s="2">
        <f t="shared" si="5"/>
        <v>12.699999999999998</v>
      </c>
      <c r="G45" s="2">
        <f t="shared" si="4"/>
        <v>6.5999999999999979</v>
      </c>
      <c r="H45" s="2">
        <v>11.612693368914647</v>
      </c>
      <c r="I45" s="2">
        <v>1684.278337032632</v>
      </c>
    </row>
    <row r="46" spans="6:11" x14ac:dyDescent="0.25">
      <c r="F46" s="2">
        <f t="shared" si="5"/>
        <v>12.799999999999997</v>
      </c>
      <c r="G46" s="2">
        <f t="shared" si="4"/>
        <v>6.6999999999999975</v>
      </c>
      <c r="H46" s="2">
        <v>11.516446718048728</v>
      </c>
      <c r="I46" s="2">
        <v>1670.3189441583361</v>
      </c>
    </row>
    <row r="49" spans="6:11" x14ac:dyDescent="0.25">
      <c r="J49" s="4"/>
      <c r="K49" s="1"/>
    </row>
    <row r="50" spans="6:11" x14ac:dyDescent="0.25">
      <c r="F50" s="4" t="s">
        <v>6</v>
      </c>
      <c r="G50" s="1">
        <v>6.4</v>
      </c>
      <c r="H50" s="4" t="s">
        <v>1</v>
      </c>
      <c r="I50" s="1">
        <v>350</v>
      </c>
      <c r="J50" s="4"/>
      <c r="K50" s="1"/>
    </row>
    <row r="51" spans="6:11" x14ac:dyDescent="0.25">
      <c r="F51" s="3" t="s">
        <v>5</v>
      </c>
      <c r="G51" s="3" t="s">
        <v>0</v>
      </c>
      <c r="H51" s="3" t="s">
        <v>4</v>
      </c>
      <c r="I51" s="3" t="s">
        <v>7</v>
      </c>
    </row>
    <row r="52" spans="6:11" x14ac:dyDescent="0.25">
      <c r="F52" s="2">
        <v>12</v>
      </c>
      <c r="G52" s="2">
        <f>F52-$G$8</f>
        <v>5.9</v>
      </c>
      <c r="H52" s="2">
        <v>12.542991180334024</v>
      </c>
      <c r="I52" s="2">
        <v>1819.206591915932</v>
      </c>
    </row>
    <row r="53" spans="6:11" x14ac:dyDescent="0.25">
      <c r="F53" s="2">
        <f>F52+0.1</f>
        <v>12.1</v>
      </c>
      <c r="G53" s="2">
        <f t="shared" ref="G53:G60" si="6">F53-$G$8</f>
        <v>6</v>
      </c>
      <c r="H53" s="2">
        <v>12.432525327797819</v>
      </c>
      <c r="I53" s="2">
        <v>1803.1848787355418</v>
      </c>
    </row>
    <row r="54" spans="6:11" x14ac:dyDescent="0.25">
      <c r="F54" s="2">
        <f>F53+0.1</f>
        <v>12.2</v>
      </c>
      <c r="G54" s="2">
        <f t="shared" si="6"/>
        <v>6.1</v>
      </c>
      <c r="H54" s="2">
        <v>12.323987407689323</v>
      </c>
      <c r="I54" s="2">
        <v>1787.4427884402216</v>
      </c>
    </row>
    <row r="55" spans="6:11" x14ac:dyDescent="0.25">
      <c r="F55" s="2">
        <f t="shared" ref="F55:F60" si="7">F54+0.1</f>
        <v>12.299999999999999</v>
      </c>
      <c r="G55" s="2">
        <f t="shared" si="6"/>
        <v>6.1999999999999993</v>
      </c>
      <c r="H55" s="2">
        <v>12.217327405181159</v>
      </c>
      <c r="I55" s="2">
        <v>1771.9730669944433</v>
      </c>
    </row>
    <row r="56" spans="6:11" x14ac:dyDescent="0.25">
      <c r="F56" s="2">
        <f t="shared" si="7"/>
        <v>12.399999999999999</v>
      </c>
      <c r="G56" s="2">
        <f t="shared" si="6"/>
        <v>6.2999999999999989</v>
      </c>
      <c r="H56" s="2">
        <v>12.112497019956013</v>
      </c>
      <c r="I56" s="2">
        <v>1756.7687090312743</v>
      </c>
    </row>
    <row r="57" spans="6:11" x14ac:dyDescent="0.25">
      <c r="F57" s="2">
        <f t="shared" si="7"/>
        <v>12.499999999999998</v>
      </c>
      <c r="G57" s="2">
        <f t="shared" si="6"/>
        <v>6.3999999999999986</v>
      </c>
      <c r="H57" s="2">
        <v>12.009449593390244</v>
      </c>
      <c r="I57" s="2">
        <v>1741.8229472912562</v>
      </c>
    </row>
    <row r="58" spans="6:11" x14ac:dyDescent="0.25">
      <c r="F58" s="2">
        <f t="shared" si="7"/>
        <v>12.599999999999998</v>
      </c>
      <c r="G58" s="2">
        <f t="shared" si="6"/>
        <v>6.4999999999999982</v>
      </c>
      <c r="H58" s="2">
        <v>11.908140039416077</v>
      </c>
      <c r="I58" s="2">
        <v>1727.1292425948172</v>
      </c>
    </row>
    <row r="59" spans="6:11" x14ac:dyDescent="0.25">
      <c r="F59" s="2">
        <f t="shared" si="7"/>
        <v>12.699999999999998</v>
      </c>
      <c r="G59" s="2">
        <f t="shared" si="6"/>
        <v>6.5999999999999979</v>
      </c>
      <c r="H59" s="2">
        <v>11.808524778847408</v>
      </c>
      <c r="I59" s="2">
        <v>1712.6812743170367</v>
      </c>
    </row>
    <row r="60" spans="6:11" x14ac:dyDescent="0.25">
      <c r="F60" s="2">
        <f t="shared" si="7"/>
        <v>12.799999999999997</v>
      </c>
      <c r="G60" s="2">
        <f t="shared" si="6"/>
        <v>6.6999999999999975</v>
      </c>
      <c r="H60" s="2">
        <v>11.710561676968563</v>
      </c>
      <c r="I60" s="2">
        <v>1698.4729313356634</v>
      </c>
    </row>
    <row r="63" spans="6:11" x14ac:dyDescent="0.25">
      <c r="J63" s="4"/>
      <c r="K63" s="1"/>
    </row>
    <row r="64" spans="6:11" x14ac:dyDescent="0.25">
      <c r="F64" s="4" t="s">
        <v>6</v>
      </c>
      <c r="G64" s="1">
        <v>6.5</v>
      </c>
      <c r="H64" s="4" t="s">
        <v>1</v>
      </c>
      <c r="I64" s="1">
        <v>350</v>
      </c>
      <c r="J64" s="4"/>
      <c r="K64" s="1"/>
    </row>
    <row r="65" spans="6:11" x14ac:dyDescent="0.25">
      <c r="F65" s="3" t="s">
        <v>5</v>
      </c>
      <c r="G65" s="3" t="s">
        <v>0</v>
      </c>
      <c r="H65" s="3" t="s">
        <v>4</v>
      </c>
      <c r="I65" s="3" t="s">
        <v>7</v>
      </c>
    </row>
    <row r="66" spans="6:11" x14ac:dyDescent="0.25">
      <c r="F66" s="2">
        <v>12</v>
      </c>
      <c r="G66" s="2">
        <f>F66-$G$8</f>
        <v>5.9</v>
      </c>
      <c r="H66" s="2">
        <v>12.752169066196393</v>
      </c>
      <c r="I66" s="2">
        <v>1849.5452713722725</v>
      </c>
    </row>
    <row r="67" spans="6:11" x14ac:dyDescent="0.25">
      <c r="F67" s="2">
        <f>F66+0.1</f>
        <v>12.1</v>
      </c>
      <c r="G67" s="2">
        <f t="shared" ref="G67:G74" si="8">F67-$G$8</f>
        <v>6</v>
      </c>
      <c r="H67" s="2">
        <v>12.63974733396042</v>
      </c>
      <c r="I67" s="2">
        <v>1833.2398818987513</v>
      </c>
    </row>
    <row r="68" spans="6:11" x14ac:dyDescent="0.25">
      <c r="F68" s="2">
        <f>F67+0.1</f>
        <v>12.2</v>
      </c>
      <c r="G68" s="2">
        <f t="shared" si="8"/>
        <v>6.1</v>
      </c>
      <c r="H68" s="2">
        <v>12.529289611510597</v>
      </c>
      <c r="I68" s="2">
        <v>1817.2193478873905</v>
      </c>
    </row>
    <row r="69" spans="6:11" x14ac:dyDescent="0.25">
      <c r="F69" s="2">
        <f t="shared" ref="F69:F74" si="9">F68+0.1</f>
        <v>12.299999999999999</v>
      </c>
      <c r="G69" s="2">
        <f t="shared" si="8"/>
        <v>6.1999999999999993</v>
      </c>
      <c r="H69" s="2">
        <v>12.42074489873529</v>
      </c>
      <c r="I69" s="2">
        <v>1801.4762723992994</v>
      </c>
    </row>
    <row r="70" spans="6:11" x14ac:dyDescent="0.25">
      <c r="F70" s="2">
        <f t="shared" si="9"/>
        <v>12.399999999999999</v>
      </c>
      <c r="G70" s="2">
        <f t="shared" si="8"/>
        <v>6.2999999999999989</v>
      </c>
      <c r="H70" s="2">
        <v>12.314063945467527</v>
      </c>
      <c r="I70" s="2">
        <v>1786.0035123035357</v>
      </c>
    </row>
    <row r="71" spans="6:11" x14ac:dyDescent="0.25">
      <c r="F71" s="2">
        <f t="shared" si="9"/>
        <v>12.499999999999998</v>
      </c>
      <c r="G71" s="2">
        <f t="shared" si="8"/>
        <v>6.3999999999999986</v>
      </c>
      <c r="H71" s="2">
        <v>12.209199177094542</v>
      </c>
      <c r="I71" s="2">
        <v>1770.7941674876849</v>
      </c>
    </row>
    <row r="72" spans="6:11" x14ac:dyDescent="0.25">
      <c r="F72" s="2">
        <f t="shared" si="9"/>
        <v>12.599999999999998</v>
      </c>
      <c r="G72" s="2">
        <f t="shared" si="8"/>
        <v>6.4999999999999982</v>
      </c>
      <c r="H72" s="2">
        <v>12.106104623928839</v>
      </c>
      <c r="I72" s="2">
        <v>1755.8415706140038</v>
      </c>
    </row>
    <row r="73" spans="6:11" x14ac:dyDescent="0.25">
      <c r="F73" s="2">
        <f t="shared" si="9"/>
        <v>12.699999999999998</v>
      </c>
      <c r="G73" s="2">
        <f t="shared" si="8"/>
        <v>6.5999999999999979</v>
      </c>
      <c r="H73" s="2">
        <v>12.004735854120797</v>
      </c>
      <c r="I73" s="2">
        <v>1741.139277389216</v>
      </c>
    </row>
    <row r="74" spans="6:11" x14ac:dyDescent="0.25">
      <c r="F74" s="2">
        <f t="shared" si="9"/>
        <v>12.799999999999997</v>
      </c>
      <c r="G74" s="2">
        <f t="shared" si="8"/>
        <v>6.6999999999999975</v>
      </c>
      <c r="H74" s="2">
        <v>11.905049909907419</v>
      </c>
      <c r="I74" s="2">
        <v>1726.6810573181792</v>
      </c>
    </row>
    <row r="77" spans="6:11" x14ac:dyDescent="0.25">
      <c r="J77" s="4"/>
      <c r="K77" s="1"/>
    </row>
    <row r="78" spans="6:11" x14ac:dyDescent="0.25">
      <c r="F78" s="4" t="s">
        <v>6</v>
      </c>
      <c r="G78" s="1">
        <v>6.6</v>
      </c>
      <c r="H78" s="4" t="s">
        <v>1</v>
      </c>
      <c r="I78" s="1">
        <v>350</v>
      </c>
      <c r="J78" s="4"/>
      <c r="K78" s="1"/>
    </row>
    <row r="79" spans="6:11" x14ac:dyDescent="0.25">
      <c r="F79" s="3" t="s">
        <v>5</v>
      </c>
      <c r="G79" s="3" t="s">
        <v>0</v>
      </c>
      <c r="H79" s="3" t="s">
        <v>4</v>
      </c>
      <c r="I79" s="3" t="s">
        <v>7</v>
      </c>
    </row>
    <row r="80" spans="6:11" x14ac:dyDescent="0.25">
      <c r="F80" s="2">
        <v>12</v>
      </c>
      <c r="G80" s="2">
        <f>F80-$G$8</f>
        <v>5.9</v>
      </c>
      <c r="H80" s="2">
        <v>12.961777506816372</v>
      </c>
      <c r="I80" s="2">
        <v>1879.946397500381</v>
      </c>
    </row>
    <row r="81" spans="6:11" x14ac:dyDescent="0.25">
      <c r="F81" s="2">
        <f>F80+0.1</f>
        <v>12.1</v>
      </c>
      <c r="G81" s="2">
        <f t="shared" ref="G81:G88" si="10">F81-$G$8</f>
        <v>6</v>
      </c>
      <c r="H81" s="2">
        <v>12.847392184581405</v>
      </c>
      <c r="I81" s="2">
        <v>1863.3562134496626</v>
      </c>
    </row>
    <row r="82" spans="6:11" x14ac:dyDescent="0.25">
      <c r="F82" s="2">
        <f>F81+0.1</f>
        <v>12.2</v>
      </c>
      <c r="G82" s="2">
        <f t="shared" si="10"/>
        <v>6.1</v>
      </c>
      <c r="H82" s="2">
        <v>12.735007154544357</v>
      </c>
      <c r="I82" s="2">
        <v>1847.0561471786582</v>
      </c>
    </row>
    <row r="83" spans="6:11" x14ac:dyDescent="0.25">
      <c r="F83" s="2">
        <f t="shared" ref="F83:F88" si="11">F82+0.1</f>
        <v>12.299999999999999</v>
      </c>
      <c r="G83" s="2">
        <f t="shared" si="10"/>
        <v>6.1999999999999993</v>
      </c>
      <c r="H83" s="2">
        <v>12.624570424109301</v>
      </c>
      <c r="I83" s="2">
        <v>1831.0386578008377</v>
      </c>
    </row>
    <row r="84" spans="6:11" x14ac:dyDescent="0.25">
      <c r="F84" s="2">
        <f t="shared" si="11"/>
        <v>12.399999999999999</v>
      </c>
      <c r="G84" s="2">
        <f t="shared" si="10"/>
        <v>6.2999999999999989</v>
      </c>
      <c r="H84" s="2">
        <v>12.516031786372546</v>
      </c>
      <c r="I84" s="2">
        <v>1815.2964634223654</v>
      </c>
    </row>
    <row r="85" spans="6:11" x14ac:dyDescent="0.25">
      <c r="F85" s="2">
        <f t="shared" si="11"/>
        <v>12.499999999999998</v>
      </c>
      <c r="G85" s="2">
        <f t="shared" si="10"/>
        <v>6.3999999999999986</v>
      </c>
      <c r="H85" s="2">
        <v>12.40934274414194</v>
      </c>
      <c r="I85" s="2">
        <v>1799.8225301220355</v>
      </c>
    </row>
    <row r="86" spans="6:11" x14ac:dyDescent="0.25">
      <c r="F86" s="2">
        <f t="shared" si="11"/>
        <v>12.599999999999998</v>
      </c>
      <c r="G86" s="2">
        <f t="shared" si="10"/>
        <v>6.4999999999999982</v>
      </c>
      <c r="H86" s="2">
        <v>12.304456437801621</v>
      </c>
      <c r="I86" s="2">
        <v>1784.6100614889401</v>
      </c>
    </row>
    <row r="87" spans="6:11" x14ac:dyDescent="0.25">
      <c r="F87" s="2">
        <f t="shared" si="11"/>
        <v>12.699999999999998</v>
      </c>
      <c r="G87" s="2">
        <f t="shared" si="10"/>
        <v>6.5999999999999979</v>
      </c>
      <c r="H87" s="2">
        <v>12.201327576797091</v>
      </c>
      <c r="I87" s="2">
        <v>1769.6524886852235</v>
      </c>
    </row>
    <row r="88" spans="6:11" x14ac:dyDescent="0.25">
      <c r="F88" s="2">
        <f t="shared" si="11"/>
        <v>12.799999999999997</v>
      </c>
      <c r="G88" s="2">
        <f t="shared" si="10"/>
        <v>6.6999999999999975</v>
      </c>
      <c r="H88" s="2">
        <v>12.099912374530506</v>
      </c>
      <c r="I88" s="2">
        <v>1754.9434610034432</v>
      </c>
    </row>
    <row r="91" spans="6:11" x14ac:dyDescent="0.25">
      <c r="J91" s="4"/>
      <c r="K91" s="1"/>
    </row>
    <row r="92" spans="6:11" x14ac:dyDescent="0.25">
      <c r="F92" s="4" t="s">
        <v>6</v>
      </c>
      <c r="G92" s="1">
        <v>6.7</v>
      </c>
      <c r="H92" s="4" t="s">
        <v>1</v>
      </c>
      <c r="I92" s="1">
        <v>350</v>
      </c>
      <c r="J92" s="4"/>
      <c r="K92" s="1"/>
    </row>
    <row r="93" spans="6:11" x14ac:dyDescent="0.25">
      <c r="F93" s="3" t="s">
        <v>5</v>
      </c>
      <c r="G93" s="3" t="s">
        <v>0</v>
      </c>
      <c r="H93" s="3" t="s">
        <v>4</v>
      </c>
      <c r="I93" s="3" t="s">
        <v>7</v>
      </c>
    </row>
    <row r="94" spans="6:11" x14ac:dyDescent="0.25">
      <c r="F94" s="2">
        <v>12</v>
      </c>
      <c r="G94" s="2">
        <f>F94-$G$8</f>
        <v>5.9</v>
      </c>
      <c r="H94" s="2">
        <v>13.171817684630419</v>
      </c>
      <c r="I94" s="2">
        <v>1910.4101417981212</v>
      </c>
    </row>
    <row r="95" spans="6:11" x14ac:dyDescent="0.25">
      <c r="F95" s="2">
        <f>F94+0.1</f>
        <v>12.1</v>
      </c>
      <c r="G95" s="2">
        <f t="shared" ref="G95:G102" si="12">F95-$G$8</f>
        <v>6</v>
      </c>
      <c r="H95" s="2">
        <v>13.055461030884237</v>
      </c>
      <c r="I95" s="2">
        <v>1893.5340403590787</v>
      </c>
    </row>
    <row r="96" spans="6:11" x14ac:dyDescent="0.25">
      <c r="F96" s="2">
        <f>F95+0.1</f>
        <v>12.2</v>
      </c>
      <c r="G96" s="2">
        <f t="shared" si="12"/>
        <v>6.1</v>
      </c>
      <c r="H96" s="2">
        <v>12.941141157889557</v>
      </c>
      <c r="I96" s="2">
        <v>1876.9533489156383</v>
      </c>
    </row>
    <row r="97" spans="6:11" x14ac:dyDescent="0.25">
      <c r="F97" s="2">
        <f t="shared" ref="F97:F102" si="13">F96+0.1</f>
        <v>12.299999999999999</v>
      </c>
      <c r="G97" s="2">
        <f t="shared" si="12"/>
        <v>6.1999999999999993</v>
      </c>
      <c r="H97" s="2">
        <v>12.828805073319103</v>
      </c>
      <c r="I97" s="2">
        <v>1860.660381582534</v>
      </c>
    </row>
    <row r="98" spans="6:11" x14ac:dyDescent="0.25">
      <c r="F98" s="2">
        <f t="shared" si="13"/>
        <v>12.399999999999999</v>
      </c>
      <c r="G98" s="2">
        <f t="shared" si="12"/>
        <v>6.2999999999999989</v>
      </c>
      <c r="H98" s="2">
        <v>12.718401606600802</v>
      </c>
      <c r="I98" s="2">
        <v>1844.6477166976852</v>
      </c>
    </row>
    <row r="99" spans="6:11" x14ac:dyDescent="0.25">
      <c r="F99" s="2">
        <f t="shared" si="13"/>
        <v>12.499999999999998</v>
      </c>
      <c r="G99" s="2">
        <f t="shared" si="12"/>
        <v>6.3999999999999986</v>
      </c>
      <c r="H99" s="2">
        <v>12.609881331330525</v>
      </c>
      <c r="I99" s="2">
        <v>1828.9081855691174</v>
      </c>
    </row>
    <row r="100" spans="6:11" x14ac:dyDescent="0.25">
      <c r="F100" s="2">
        <f t="shared" si="13"/>
        <v>12.599999999999998</v>
      </c>
      <c r="G100" s="2">
        <f t="shared" si="12"/>
        <v>6.4999999999999982</v>
      </c>
      <c r="H100" s="2">
        <v>12.503196491615205</v>
      </c>
      <c r="I100" s="2">
        <v>1813.4348617919386</v>
      </c>
    </row>
    <row r="101" spans="6:11" x14ac:dyDescent="0.25">
      <c r="F101" s="2">
        <f t="shared" si="13"/>
        <v>12.699999999999998</v>
      </c>
      <c r="G101" s="2">
        <f t="shared" si="12"/>
        <v>6.5999999999999979</v>
      </c>
      <c r="H101" s="2">
        <v>12.398300932115932</v>
      </c>
      <c r="I101" s="2">
        <v>1798.2210511019509</v>
      </c>
    </row>
    <row r="102" spans="6:11" x14ac:dyDescent="0.25">
      <c r="F102" s="2">
        <f t="shared" si="13"/>
        <v>12.799999999999997</v>
      </c>
      <c r="G102" s="2">
        <f t="shared" si="12"/>
        <v>6.6999999999999975</v>
      </c>
      <c r="H102" s="2">
        <v>12.295150031576213</v>
      </c>
      <c r="I102" s="2">
        <v>1783.2602817347413</v>
      </c>
    </row>
    <row r="105" spans="6:11" x14ac:dyDescent="0.25">
      <c r="J105" s="4"/>
      <c r="K105" s="1"/>
    </row>
    <row r="106" spans="6:11" x14ac:dyDescent="0.25">
      <c r="F106" s="4" t="s">
        <v>6</v>
      </c>
      <c r="G106" s="1">
        <v>6.8</v>
      </c>
      <c r="H106" s="4" t="s">
        <v>1</v>
      </c>
      <c r="I106" s="1">
        <v>350</v>
      </c>
      <c r="J106" s="4"/>
      <c r="K106" s="1"/>
    </row>
    <row r="107" spans="6:11" x14ac:dyDescent="0.25">
      <c r="F107" s="3" t="s">
        <v>5</v>
      </c>
      <c r="G107" s="3" t="s">
        <v>0</v>
      </c>
      <c r="H107" s="3" t="s">
        <v>4</v>
      </c>
      <c r="I107" s="3" t="s">
        <v>7</v>
      </c>
    </row>
    <row r="108" spans="6:11" x14ac:dyDescent="0.25">
      <c r="F108" s="2">
        <v>12</v>
      </c>
      <c r="G108" s="2">
        <f>F108-$G$8</f>
        <v>5.9</v>
      </c>
      <c r="H108" s="2">
        <v>13.382290786136943</v>
      </c>
      <c r="I108" s="2">
        <v>1940.9366763524943</v>
      </c>
    </row>
    <row r="109" spans="6:11" x14ac:dyDescent="0.25">
      <c r="F109" s="2">
        <f>F108+0.1</f>
        <v>12.1</v>
      </c>
      <c r="G109" s="2">
        <f t="shared" ref="G109:G116" si="14">F109-$G$8</f>
        <v>6</v>
      </c>
      <c r="H109" s="2">
        <v>13.263955028012898</v>
      </c>
      <c r="I109" s="2">
        <v>1923.7735301664263</v>
      </c>
    </row>
    <row r="110" spans="6:11" x14ac:dyDescent="0.25">
      <c r="F110" s="2">
        <f>F109+0.1</f>
        <v>12.2</v>
      </c>
      <c r="G110" s="2">
        <f t="shared" si="14"/>
        <v>6.1</v>
      </c>
      <c r="H110" s="2">
        <v>13.147692746430341</v>
      </c>
      <c r="I110" s="2">
        <v>1906.9111162489398</v>
      </c>
    </row>
    <row r="111" spans="6:11" x14ac:dyDescent="0.25">
      <c r="F111" s="2">
        <f t="shared" ref="F111:F116" si="15">F110+0.1</f>
        <v>12.299999999999999</v>
      </c>
      <c r="G111" s="2">
        <f t="shared" si="14"/>
        <v>6.1999999999999993</v>
      </c>
      <c r="H111" s="2">
        <v>13.033449942036251</v>
      </c>
      <c r="I111" s="2">
        <v>1890.3416026580712</v>
      </c>
    </row>
    <row r="112" spans="6:11" x14ac:dyDescent="0.25">
      <c r="F112" s="2">
        <f t="shared" si="15"/>
        <v>12.399999999999999</v>
      </c>
      <c r="G112" s="2">
        <f t="shared" si="14"/>
        <v>6.2999999999999989</v>
      </c>
      <c r="H112" s="2">
        <v>12.921174473613613</v>
      </c>
      <c r="I112" s="2">
        <v>1874.0574269516292</v>
      </c>
    </row>
    <row r="113" spans="6:11" x14ac:dyDescent="0.25">
      <c r="F113" s="2">
        <f t="shared" si="15"/>
        <v>12.499999999999998</v>
      </c>
      <c r="G113" s="2">
        <f t="shared" si="14"/>
        <v>6.3999999999999986</v>
      </c>
      <c r="H113" s="2">
        <v>12.810815978871146</v>
      </c>
      <c r="I113" s="2">
        <v>1858.0512846987197</v>
      </c>
    </row>
    <row r="114" spans="6:11" x14ac:dyDescent="0.25">
      <c r="F114" s="2">
        <f t="shared" si="15"/>
        <v>12.599999999999998</v>
      </c>
      <c r="G114" s="2">
        <f t="shared" si="14"/>
        <v>6.4999999999999982</v>
      </c>
      <c r="H114" s="2">
        <v>12.702325799249264</v>
      </c>
      <c r="I114" s="2">
        <v>1842.3161185737749</v>
      </c>
    </row>
    <row r="115" spans="6:11" x14ac:dyDescent="0.25">
      <c r="F115" s="2">
        <f t="shared" si="15"/>
        <v>12.699999999999998</v>
      </c>
      <c r="G115" s="2">
        <f t="shared" si="14"/>
        <v>6.5999999999999979</v>
      </c>
      <c r="H115" s="2">
        <v>12.595656908506685</v>
      </c>
      <c r="I115" s="2">
        <v>1826.84510799892</v>
      </c>
    </row>
    <row r="116" spans="6:11" x14ac:dyDescent="0.25">
      <c r="F116" s="2">
        <f t="shared" si="15"/>
        <v>12.799999999999997</v>
      </c>
      <c r="G116" s="2">
        <f t="shared" si="14"/>
        <v>6.6999999999999975</v>
      </c>
      <c r="H116" s="2">
        <v>12.490763844867947</v>
      </c>
      <c r="I116" s="2">
        <v>1811.6316593028039</v>
      </c>
    </row>
    <row r="119" spans="6:11" x14ac:dyDescent="0.25">
      <c r="J119" s="4"/>
      <c r="K119" s="1"/>
    </row>
    <row r="120" spans="6:11" x14ac:dyDescent="0.25">
      <c r="F120" s="4" t="s">
        <v>6</v>
      </c>
      <c r="G120" s="1">
        <v>6.9</v>
      </c>
      <c r="H120" s="4" t="s">
        <v>1</v>
      </c>
      <c r="I120" s="1">
        <v>350</v>
      </c>
      <c r="J120" s="4"/>
      <c r="K120" s="1"/>
    </row>
    <row r="121" spans="6:11" x14ac:dyDescent="0.25">
      <c r="F121" s="3" t="s">
        <v>5</v>
      </c>
      <c r="G121" s="3" t="s">
        <v>0</v>
      </c>
      <c r="H121" s="3" t="s">
        <v>4</v>
      </c>
      <c r="I121" s="3" t="s">
        <v>7</v>
      </c>
    </row>
    <row r="122" spans="6:11" x14ac:dyDescent="0.25">
      <c r="F122" s="2">
        <v>12</v>
      </c>
      <c r="G122" s="2">
        <f>F122-$G$8</f>
        <v>5.9</v>
      </c>
      <c r="H122" s="2">
        <v>13.593198001913064</v>
      </c>
      <c r="I122" s="2">
        <v>1971.5261738420666</v>
      </c>
    </row>
    <row r="123" spans="6:11" x14ac:dyDescent="0.25">
      <c r="F123" s="2">
        <f>F122+0.1</f>
        <v>12.1</v>
      </c>
      <c r="G123" s="2">
        <f t="shared" ref="G123:G130" si="16">F123-$G$8</f>
        <v>6</v>
      </c>
      <c r="H123" s="2">
        <v>13.472875335047931</v>
      </c>
      <c r="I123" s="2">
        <v>1954.0748509820812</v>
      </c>
    </row>
    <row r="124" spans="6:11" x14ac:dyDescent="0.25">
      <c r="F124" s="2">
        <f>F123+0.1</f>
        <v>12.2</v>
      </c>
      <c r="G124" s="2">
        <f t="shared" si="16"/>
        <v>6.1</v>
      </c>
      <c r="H124" s="2">
        <v>13.354663048851387</v>
      </c>
      <c r="I124" s="2">
        <v>1936.9296128803928</v>
      </c>
    </row>
    <row r="125" spans="6:11" x14ac:dyDescent="0.25">
      <c r="F125" s="2">
        <f t="shared" ref="F125:F130" si="17">F124+0.1</f>
        <v>12.299999999999999</v>
      </c>
      <c r="G125" s="2">
        <f t="shared" si="16"/>
        <v>6.1999999999999993</v>
      </c>
      <c r="H125" s="2">
        <v>13.238506129602646</v>
      </c>
      <c r="I125" s="2">
        <v>1920.0824804734698</v>
      </c>
    </row>
    <row r="126" spans="6:11" x14ac:dyDescent="0.25">
      <c r="F126" s="2">
        <f t="shared" si="17"/>
        <v>12.399999999999999</v>
      </c>
      <c r="G126" s="2">
        <f t="shared" si="16"/>
        <v>6.2999999999999989</v>
      </c>
      <c r="H126" s="2">
        <v>13.124351458417992</v>
      </c>
      <c r="I126" s="2">
        <v>1903.5257495205913</v>
      </c>
    </row>
    <row r="127" spans="6:11" x14ac:dyDescent="0.25">
      <c r="F127" s="2">
        <f t="shared" si="17"/>
        <v>12.499999999999998</v>
      </c>
      <c r="G127" s="2">
        <f t="shared" si="16"/>
        <v>6.3999999999999986</v>
      </c>
      <c r="H127" s="2">
        <v>13.012147730400903</v>
      </c>
      <c r="I127" s="2">
        <v>1887.2519788775671</v>
      </c>
    </row>
    <row r="128" spans="6:11" x14ac:dyDescent="0.25">
      <c r="F128" s="2">
        <f t="shared" si="17"/>
        <v>12.599999999999998</v>
      </c>
      <c r="G128" s="2">
        <f t="shared" si="16"/>
        <v>6.4999999999999982</v>
      </c>
      <c r="H128" s="2">
        <v>12.90184537789527</v>
      </c>
      <c r="I128" s="2">
        <v>1871.2539793655608</v>
      </c>
    </row>
    <row r="129" spans="6:11" x14ac:dyDescent="0.25">
      <c r="F129" s="2">
        <f t="shared" si="17"/>
        <v>12.699999999999998</v>
      </c>
      <c r="G129" s="2">
        <f t="shared" si="16"/>
        <v>6.5999999999999979</v>
      </c>
      <c r="H129" s="2">
        <v>12.793396497600819</v>
      </c>
      <c r="I129" s="2">
        <v>1855.5248032000784</v>
      </c>
    </row>
    <row r="130" spans="6:11" x14ac:dyDescent="0.25">
      <c r="F130" s="2">
        <f t="shared" si="17"/>
        <v>12.799999999999997</v>
      </c>
      <c r="G130" s="2">
        <f t="shared" si="16"/>
        <v>6.6999999999999975</v>
      </c>
      <c r="H130" s="2">
        <v>12.686754781326039</v>
      </c>
      <c r="I130" s="2">
        <v>1840.0577339475317</v>
      </c>
    </row>
    <row r="133" spans="6:11" x14ac:dyDescent="0.25">
      <c r="J133" s="4"/>
      <c r="K133" s="1"/>
    </row>
    <row r="134" spans="6:11" x14ac:dyDescent="0.25">
      <c r="F134" s="4" t="s">
        <v>6</v>
      </c>
      <c r="G134" s="1">
        <v>7</v>
      </c>
      <c r="H134" s="4" t="s">
        <v>1</v>
      </c>
      <c r="I134" s="1">
        <v>350</v>
      </c>
      <c r="J134" s="4"/>
      <c r="K134" s="1"/>
    </row>
    <row r="135" spans="6:11" x14ac:dyDescent="0.25">
      <c r="F135" s="3" t="s">
        <v>5</v>
      </c>
      <c r="G135" s="3" t="s">
        <v>0</v>
      </c>
      <c r="H135" s="3" t="s">
        <v>4</v>
      </c>
      <c r="I135" s="3" t="s">
        <v>7</v>
      </c>
    </row>
    <row r="136" spans="6:11" x14ac:dyDescent="0.25">
      <c r="F136" s="2">
        <v>12</v>
      </c>
      <c r="G136" s="2">
        <f>F136-$G$8</f>
        <v>5.9</v>
      </c>
      <c r="H136" s="2">
        <v>13.804540526631465</v>
      </c>
      <c r="I136" s="2">
        <v>2002.1788075394165</v>
      </c>
    </row>
    <row r="137" spans="6:11" x14ac:dyDescent="0.25">
      <c r="F137" s="2">
        <f>F136+0.1</f>
        <v>12.1</v>
      </c>
      <c r="G137" s="2">
        <f t="shared" ref="G137:G144" si="18">F137-$G$8</f>
        <v>6</v>
      </c>
      <c r="H137" s="2">
        <v>13.68222311502255</v>
      </c>
      <c r="I137" s="2">
        <v>1984.4381714897061</v>
      </c>
    </row>
    <row r="138" spans="6:11" x14ac:dyDescent="0.25">
      <c r="F138" s="2">
        <f>F137+0.1</f>
        <v>12.2</v>
      </c>
      <c r="G138" s="2">
        <f t="shared" si="18"/>
        <v>6.1</v>
      </c>
      <c r="H138" s="2">
        <v>13.562053197653347</v>
      </c>
      <c r="I138" s="2">
        <v>1967.0090030652868</v>
      </c>
    </row>
    <row r="139" spans="6:11" x14ac:dyDescent="0.25">
      <c r="F139" s="2">
        <f t="shared" ref="F139:F144" si="19">F138+0.1</f>
        <v>12.299999999999999</v>
      </c>
      <c r="G139" s="2">
        <f t="shared" si="18"/>
        <v>6.1999999999999993</v>
      </c>
      <c r="H139" s="2">
        <v>13.443974739045297</v>
      </c>
      <c r="I139" s="2">
        <v>1949.8831750092302</v>
      </c>
    </row>
    <row r="140" spans="6:11" x14ac:dyDescent="0.25">
      <c r="F140" s="2">
        <f t="shared" si="19"/>
        <v>12.399999999999999</v>
      </c>
      <c r="G140" s="2">
        <f t="shared" si="18"/>
        <v>6.2999999999999989</v>
      </c>
      <c r="H140" s="2">
        <v>13.327933635580747</v>
      </c>
      <c r="I140" s="2">
        <v>1933.0528402572697</v>
      </c>
    </row>
    <row r="141" spans="6:11" x14ac:dyDescent="0.25">
      <c r="F141" s="2">
        <f t="shared" si="19"/>
        <v>12.499999999999998</v>
      </c>
      <c r="G141" s="2">
        <f t="shared" si="18"/>
        <v>6.3999999999999986</v>
      </c>
      <c r="H141" s="2">
        <v>13.213877632996699</v>
      </c>
      <c r="I141" s="2">
        <v>1916.5104199712853</v>
      </c>
    </row>
    <row r="142" spans="6:11" x14ac:dyDescent="0.25">
      <c r="F142" s="2">
        <f t="shared" si="19"/>
        <v>12.599999999999998</v>
      </c>
      <c r="G142" s="2">
        <f t="shared" si="18"/>
        <v>6.4999999999999982</v>
      </c>
      <c r="H142" s="2">
        <v>13.10175624806952</v>
      </c>
      <c r="I142" s="2">
        <v>1900.2485921806326</v>
      </c>
    </row>
    <row r="143" spans="6:11" x14ac:dyDescent="0.25">
      <c r="F143" s="2">
        <f t="shared" si="19"/>
        <v>12.699999999999998</v>
      </c>
      <c r="G143" s="2">
        <f t="shared" si="18"/>
        <v>6.5999999999999979</v>
      </c>
      <c r="H143" s="2">
        <v>12.991520694244382</v>
      </c>
      <c r="I143" s="2">
        <v>1884.2602809956086</v>
      </c>
    </row>
    <row r="144" spans="6:11" x14ac:dyDescent="0.25">
      <c r="F144" s="2">
        <f t="shared" si="19"/>
        <v>12.799999999999997</v>
      </c>
      <c r="G144" s="2">
        <f t="shared" si="18"/>
        <v>6.6999999999999975</v>
      </c>
      <c r="H144" s="2">
        <v>12.883123810979686</v>
      </c>
      <c r="I144" s="2">
        <v>1868.5386463597285</v>
      </c>
    </row>
    <row r="147" spans="6:11" x14ac:dyDescent="0.25">
      <c r="J147" s="4"/>
      <c r="K147" s="1"/>
    </row>
    <row r="148" spans="6:11" x14ac:dyDescent="0.25">
      <c r="F148" s="4" t="s">
        <v>6</v>
      </c>
      <c r="G148" s="1">
        <v>7.1</v>
      </c>
      <c r="H148" s="4" t="s">
        <v>1</v>
      </c>
      <c r="I148" s="1">
        <v>350</v>
      </c>
      <c r="J148" s="4"/>
      <c r="K148" s="1"/>
    </row>
    <row r="149" spans="6:11" x14ac:dyDescent="0.25">
      <c r="F149" s="3" t="s">
        <v>5</v>
      </c>
      <c r="G149" s="3" t="s">
        <v>0</v>
      </c>
      <c r="H149" s="3" t="s">
        <v>4</v>
      </c>
      <c r="I149" s="3" t="s">
        <v>7</v>
      </c>
    </row>
    <row r="150" spans="6:11" x14ac:dyDescent="0.25">
      <c r="F150" s="2">
        <v>12</v>
      </c>
      <c r="G150" s="2">
        <f>F150-$G$8</f>
        <v>5.9</v>
      </c>
      <c r="H150" s="2">
        <v>14.016319559077287</v>
      </c>
      <c r="I150" s="2">
        <v>2032.8947513135838</v>
      </c>
    </row>
    <row r="151" spans="6:11" x14ac:dyDescent="0.25">
      <c r="F151" s="2">
        <f>F150+0.1</f>
        <v>12.1</v>
      </c>
      <c r="G151" s="2">
        <f t="shared" ref="G151:G158" si="20">F151-$G$8</f>
        <v>6</v>
      </c>
      <c r="H151" s="2">
        <v>13.891999534938819</v>
      </c>
      <c r="I151" s="2">
        <v>2014.8636609485959</v>
      </c>
    </row>
    <row r="152" spans="6:11" x14ac:dyDescent="0.25">
      <c r="F152" s="2">
        <f>F151+0.1</f>
        <v>12.2</v>
      </c>
      <c r="G152" s="2">
        <f t="shared" si="20"/>
        <v>6.1</v>
      </c>
      <c r="H152" s="2">
        <v>13.769864329168305</v>
      </c>
      <c r="I152" s="2">
        <v>1997.149451614614</v>
      </c>
    </row>
    <row r="153" spans="6:11" x14ac:dyDescent="0.25">
      <c r="F153" s="2">
        <f t="shared" ref="F153:F158" si="21">F152+0.1</f>
        <v>12.299999999999999</v>
      </c>
      <c r="G153" s="2">
        <f t="shared" si="20"/>
        <v>6.1999999999999993</v>
      </c>
      <c r="H153" s="2">
        <v>13.649856877091157</v>
      </c>
      <c r="I153" s="2">
        <v>1979.7438467824841</v>
      </c>
    </row>
    <row r="154" spans="6:11" x14ac:dyDescent="0.25">
      <c r="F154" s="2">
        <f t="shared" si="21"/>
        <v>12.399999999999999</v>
      </c>
      <c r="G154" s="2">
        <f t="shared" si="20"/>
        <v>6.2999999999999989</v>
      </c>
      <c r="H154" s="2">
        <v>13.531922083242735</v>
      </c>
      <c r="I154" s="2">
        <v>1962.6388555327349</v>
      </c>
    </row>
    <row r="155" spans="6:11" x14ac:dyDescent="0.25">
      <c r="F155" s="2">
        <f t="shared" si="21"/>
        <v>12.499999999999998</v>
      </c>
      <c r="G155" s="2">
        <f t="shared" si="20"/>
        <v>6.3999999999999986</v>
      </c>
      <c r="H155" s="2">
        <v>13.416006737188868</v>
      </c>
      <c r="I155" s="2">
        <v>1945.8267603463778</v>
      </c>
    </row>
    <row r="156" spans="6:11" x14ac:dyDescent="0.25">
      <c r="F156" s="2">
        <f t="shared" si="21"/>
        <v>12.599999999999998</v>
      </c>
      <c r="G156" s="2">
        <f t="shared" si="20"/>
        <v>6.4999999999999982</v>
      </c>
      <c r="H156" s="2">
        <v>13.302059433626162</v>
      </c>
      <c r="I156" s="2">
        <v>1929.3001055164414</v>
      </c>
    </row>
    <row r="157" spans="6:11" x14ac:dyDescent="0.25">
      <c r="F157" s="2">
        <f t="shared" si="21"/>
        <v>12.699999999999998</v>
      </c>
      <c r="G157" s="2">
        <f t="shared" si="20"/>
        <v>6.5999999999999979</v>
      </c>
      <c r="H157" s="2">
        <v>13.190030496510511</v>
      </c>
      <c r="I157" s="2">
        <v>1913.0516861437425</v>
      </c>
    </row>
    <row r="158" spans="6:11" x14ac:dyDescent="0.25">
      <c r="F158" s="2">
        <f t="shared" si="21"/>
        <v>12.799999999999997</v>
      </c>
      <c r="G158" s="2">
        <f t="shared" si="20"/>
        <v>6.6999999999999975</v>
      </c>
      <c r="H158" s="2">
        <v>13.079871906978953</v>
      </c>
      <c r="I158" s="2">
        <v>1897.0745376828413</v>
      </c>
    </row>
    <row r="161" spans="6:11" x14ac:dyDescent="0.25">
      <c r="J161" s="4"/>
      <c r="K161" s="1"/>
    </row>
    <row r="162" spans="6:11" x14ac:dyDescent="0.25">
      <c r="F162" s="4" t="s">
        <v>6</v>
      </c>
      <c r="G162" s="1">
        <v>7.2</v>
      </c>
      <c r="H162" s="4" t="s">
        <v>1</v>
      </c>
      <c r="I162" s="1">
        <v>350</v>
      </c>
      <c r="J162" s="4"/>
      <c r="K162" s="1"/>
    </row>
    <row r="163" spans="6:11" x14ac:dyDescent="0.25">
      <c r="F163" s="3" t="s">
        <v>5</v>
      </c>
      <c r="G163" s="3" t="s">
        <v>0</v>
      </c>
      <c r="H163" s="3" t="s">
        <v>4</v>
      </c>
      <c r="I163" s="3" t="s">
        <v>7</v>
      </c>
    </row>
    <row r="164" spans="6:11" x14ac:dyDescent="0.25">
      <c r="F164" s="2">
        <v>12</v>
      </c>
      <c r="G164" s="2">
        <f>F164-$G$8</f>
        <v>5.9</v>
      </c>
      <c r="H164" s="2">
        <v>14.228536302165153</v>
      </c>
      <c r="I164" s="2">
        <v>2063.6741796325391</v>
      </c>
    </row>
    <row r="165" spans="6:11" x14ac:dyDescent="0.25">
      <c r="F165" s="2">
        <f>F164+0.1</f>
        <v>12.1</v>
      </c>
      <c r="G165" s="2">
        <f t="shared" ref="G165:G172" si="22">F165-$G$8</f>
        <v>6</v>
      </c>
      <c r="H165" s="2">
        <v>14.102205765783927</v>
      </c>
      <c r="I165" s="2">
        <v>2045.3514891960394</v>
      </c>
    </row>
    <row r="166" spans="6:11" x14ac:dyDescent="0.25">
      <c r="F166" s="2">
        <f>F165+0.1</f>
        <v>12.2</v>
      </c>
      <c r="G166" s="2">
        <f t="shared" si="22"/>
        <v>6.1</v>
      </c>
      <c r="H166" s="2">
        <v>13.978097583575389</v>
      </c>
      <c r="I166" s="2">
        <v>2027.3511238973322</v>
      </c>
    </row>
    <row r="167" spans="6:11" x14ac:dyDescent="0.25">
      <c r="F167" s="2">
        <f t="shared" ref="F167:F172" si="23">F166+0.1</f>
        <v>12.299999999999999</v>
      </c>
      <c r="G167" s="2">
        <f t="shared" si="22"/>
        <v>6.1999999999999993</v>
      </c>
      <c r="H167" s="2">
        <v>13.856153654182027</v>
      </c>
      <c r="I167" s="2">
        <v>2009.6646568491565</v>
      </c>
    </row>
    <row r="168" spans="6:11" x14ac:dyDescent="0.25">
      <c r="F168" s="2">
        <f t="shared" si="23"/>
        <v>12.399999999999999</v>
      </c>
      <c r="G168" s="2">
        <f t="shared" si="22"/>
        <v>6.2999999999999989</v>
      </c>
      <c r="H168" s="2">
        <v>13.736317883133104</v>
      </c>
      <c r="I168" s="2">
        <v>1992.2839522384943</v>
      </c>
    </row>
    <row r="169" spans="6:11" x14ac:dyDescent="0.25">
      <c r="F169" s="2">
        <f t="shared" si="23"/>
        <v>12.499999999999998</v>
      </c>
      <c r="G169" s="2">
        <f t="shared" si="22"/>
        <v>6.3999999999999986</v>
      </c>
      <c r="H169" s="2">
        <v>13.618536096974832</v>
      </c>
      <c r="I169" s="2">
        <v>1975.2011528722066</v>
      </c>
    </row>
    <row r="170" spans="6:11" x14ac:dyDescent="0.25">
      <c r="F170" s="2">
        <f t="shared" si="23"/>
        <v>12.599999999999998</v>
      </c>
      <c r="G170" s="2">
        <f t="shared" si="22"/>
        <v>6.4999999999999982</v>
      </c>
      <c r="H170" s="2">
        <v>13.50275596177031</v>
      </c>
      <c r="I170" s="2">
        <v>1958.4086683564537</v>
      </c>
    </row>
    <row r="171" spans="6:11" x14ac:dyDescent="0.25">
      <c r="F171" s="2">
        <f t="shared" si="23"/>
        <v>12.699999999999998</v>
      </c>
      <c r="G171" s="2">
        <f t="shared" si="22"/>
        <v>6.5999999999999979</v>
      </c>
      <c r="H171" s="2">
        <v>13.388926905711998</v>
      </c>
      <c r="I171" s="2">
        <v>1941.8991638725849</v>
      </c>
    </row>
    <row r="172" spans="6:11" x14ac:dyDescent="0.25">
      <c r="F172" s="2">
        <f t="shared" si="23"/>
        <v>12.799999999999997</v>
      </c>
      <c r="G172" s="2">
        <f t="shared" si="22"/>
        <v>6.6999999999999975</v>
      </c>
      <c r="H172" s="2">
        <v>13.277000045606846</v>
      </c>
      <c r="I172" s="2">
        <v>1925.665549514712</v>
      </c>
    </row>
    <row r="175" spans="6:11" x14ac:dyDescent="0.25">
      <c r="J175" s="4"/>
      <c r="K175" s="1"/>
    </row>
    <row r="176" spans="6:11" x14ac:dyDescent="0.25">
      <c r="F176" s="4" t="s">
        <v>6</v>
      </c>
      <c r="G176" s="1">
        <v>7.3</v>
      </c>
      <c r="H176" s="4" t="s">
        <v>1</v>
      </c>
      <c r="I176" s="1">
        <v>350</v>
      </c>
      <c r="J176" s="4"/>
      <c r="K176" s="1"/>
    </row>
    <row r="177" spans="6:11" x14ac:dyDescent="0.25">
      <c r="F177" s="3" t="s">
        <v>5</v>
      </c>
      <c r="G177" s="3" t="s">
        <v>0</v>
      </c>
      <c r="H177" s="3" t="s">
        <v>4</v>
      </c>
      <c r="I177" s="3" t="s">
        <v>7</v>
      </c>
    </row>
    <row r="178" spans="6:11" x14ac:dyDescent="0.25">
      <c r="F178" s="2">
        <v>12</v>
      </c>
      <c r="G178" s="2">
        <f>F178-$G$8</f>
        <v>5.9</v>
      </c>
      <c r="H178" s="2">
        <v>14.441191962956228</v>
      </c>
      <c r="I178" s="2">
        <v>2094.5172675656568</v>
      </c>
    </row>
    <row r="179" spans="6:11" x14ac:dyDescent="0.25">
      <c r="F179" s="2">
        <f>F178+0.1</f>
        <v>12.1</v>
      </c>
      <c r="G179" s="2">
        <f t="shared" ref="G179:G186" si="24">F179-$G$8</f>
        <v>6</v>
      </c>
      <c r="H179" s="2">
        <v>14.312842982546512</v>
      </c>
      <c r="I179" s="2">
        <v>2075.901826649686</v>
      </c>
    </row>
    <row r="180" spans="6:11" x14ac:dyDescent="0.25">
      <c r="F180" s="2">
        <f>F179+0.1</f>
        <v>12.2</v>
      </c>
      <c r="G180" s="2">
        <f t="shared" si="24"/>
        <v>6.1</v>
      </c>
      <c r="H180" s="2">
        <v>14.186754104916362</v>
      </c>
      <c r="I180" s="2">
        <v>2057.6141858426281</v>
      </c>
    </row>
    <row r="181" spans="6:11" x14ac:dyDescent="0.25">
      <c r="F181" s="2">
        <f t="shared" ref="F181:F186" si="25">F180+0.1</f>
        <v>12.299999999999999</v>
      </c>
      <c r="G181" s="2">
        <f t="shared" si="24"/>
        <v>6.1999999999999993</v>
      </c>
      <c r="H181" s="2">
        <v>14.062866184489527</v>
      </c>
      <c r="I181" s="2">
        <v>2039.6457668061366</v>
      </c>
    </row>
    <row r="182" spans="6:11" x14ac:dyDescent="0.25">
      <c r="F182" s="2">
        <f t="shared" si="25"/>
        <v>12.399999999999999</v>
      </c>
      <c r="G182" s="2">
        <f t="shared" si="24"/>
        <v>6.2999999999999989</v>
      </c>
      <c r="H182" s="2">
        <v>13.941122120583639</v>
      </c>
      <c r="I182" s="2">
        <v>2021.9882877885736</v>
      </c>
    </row>
    <row r="183" spans="6:11" x14ac:dyDescent="0.25">
      <c r="F183" s="2">
        <f t="shared" si="25"/>
        <v>12.499999999999998</v>
      </c>
      <c r="G183" s="2">
        <f t="shared" si="24"/>
        <v>6.3999999999999986</v>
      </c>
      <c r="H183" s="2">
        <v>13.821466769832854</v>
      </c>
      <c r="I183" s="2">
        <v>2004.6337509229866</v>
      </c>
    </row>
    <row r="184" spans="6:11" x14ac:dyDescent="0.25">
      <c r="F184" s="2">
        <f t="shared" si="25"/>
        <v>12.599999999999998</v>
      </c>
      <c r="G184" s="2">
        <f t="shared" si="24"/>
        <v>6.4999999999999982</v>
      </c>
      <c r="H184" s="2">
        <v>13.703846863071213</v>
      </c>
      <c r="I184" s="2">
        <v>1987.5744301720638</v>
      </c>
    </row>
    <row r="185" spans="6:11" x14ac:dyDescent="0.25">
      <c r="F185" s="2">
        <f t="shared" si="25"/>
        <v>12.699999999999998</v>
      </c>
      <c r="G185" s="2">
        <f t="shared" si="24"/>
        <v>6.5999999999999979</v>
      </c>
      <c r="H185" s="2">
        <v>13.588210926413915</v>
      </c>
      <c r="I185" s="2">
        <v>1970.8028598819435</v>
      </c>
    </row>
    <row r="186" spans="6:11" x14ac:dyDescent="0.25">
      <c r="F186" s="2">
        <f t="shared" si="25"/>
        <v>12.799999999999997</v>
      </c>
      <c r="G186" s="2">
        <f t="shared" si="24"/>
        <v>6.6999999999999975</v>
      </c>
      <c r="H186" s="2">
        <v>13.474509206291392</v>
      </c>
      <c r="I186" s="2">
        <v>1954.3118239093292</v>
      </c>
    </row>
    <row r="189" spans="6:11" x14ac:dyDescent="0.25">
      <c r="J189" s="4"/>
      <c r="K189" s="1"/>
    </row>
    <row r="190" spans="6:11" x14ac:dyDescent="0.25">
      <c r="F190" s="4" t="s">
        <v>6</v>
      </c>
      <c r="G190" s="1">
        <v>7.4</v>
      </c>
      <c r="H190" s="4" t="s">
        <v>1</v>
      </c>
      <c r="I190" s="1">
        <v>350</v>
      </c>
      <c r="J190" s="4"/>
      <c r="K190" s="1"/>
    </row>
    <row r="191" spans="6:11" x14ac:dyDescent="0.25">
      <c r="F191" s="3" t="s">
        <v>5</v>
      </c>
      <c r="G191" s="3" t="s">
        <v>0</v>
      </c>
      <c r="H191" s="3" t="s">
        <v>4</v>
      </c>
      <c r="I191" s="3" t="s">
        <v>7</v>
      </c>
    </row>
    <row r="192" spans="6:11" x14ac:dyDescent="0.25">
      <c r="F192" s="2">
        <v>12</v>
      </c>
      <c r="G192" s="2">
        <f>F192-$G$8</f>
        <v>5.9</v>
      </c>
      <c r="H192" s="2">
        <v>14.654287752675391</v>
      </c>
      <c r="I192" s="2">
        <v>2125.4241907862074</v>
      </c>
    </row>
    <row r="193" spans="6:11" x14ac:dyDescent="0.25">
      <c r="F193" s="2">
        <f>F192+0.1</f>
        <v>12.1</v>
      </c>
      <c r="G193" s="2">
        <f t="shared" ref="G193:G200" si="26">F193-$G$8</f>
        <v>6</v>
      </c>
      <c r="H193" s="2">
        <v>14.523912364233093</v>
      </c>
      <c r="I193" s="2">
        <v>2106.5148443099301</v>
      </c>
    </row>
    <row r="194" spans="6:11" x14ac:dyDescent="0.25">
      <c r="F194" s="2">
        <f>F193+0.1</f>
        <v>12.2</v>
      </c>
      <c r="G194" s="2">
        <f t="shared" si="26"/>
        <v>6.1</v>
      </c>
      <c r="H194" s="2">
        <v>14.395835041111358</v>
      </c>
      <c r="I194" s="2">
        <v>2087.938803942197</v>
      </c>
    </row>
    <row r="195" spans="6:11" x14ac:dyDescent="0.25">
      <c r="F195" s="2">
        <f t="shared" ref="F195:F200" si="27">F194+0.1</f>
        <v>12.299999999999999</v>
      </c>
      <c r="G195" s="2">
        <f t="shared" si="26"/>
        <v>6.1999999999999993</v>
      </c>
      <c r="H195" s="2">
        <v>14.269995585930129</v>
      </c>
      <c r="I195" s="2">
        <v>2069.6873387934584</v>
      </c>
    </row>
    <row r="196" spans="6:11" x14ac:dyDescent="0.25">
      <c r="F196" s="2">
        <f t="shared" si="27"/>
        <v>12.399999999999999</v>
      </c>
      <c r="G196" s="2">
        <f t="shared" si="26"/>
        <v>6.2999999999999989</v>
      </c>
      <c r="H196" s="2">
        <v>14.146335884543173</v>
      </c>
      <c r="I196" s="2">
        <v>2051.7520201216075</v>
      </c>
    </row>
    <row r="197" spans="6:11" x14ac:dyDescent="0.25">
      <c r="F197" s="2">
        <f t="shared" si="27"/>
        <v>12.499999999999998</v>
      </c>
      <c r="G197" s="2">
        <f t="shared" si="26"/>
        <v>6.3999999999999986</v>
      </c>
      <c r="H197" s="2">
        <v>14.024799816735825</v>
      </c>
      <c r="I197" s="2">
        <v>2034.1247083797857</v>
      </c>
    </row>
    <row r="198" spans="6:11" x14ac:dyDescent="0.25">
      <c r="F198" s="2">
        <f t="shared" si="27"/>
        <v>12.599999999999998</v>
      </c>
      <c r="G198" s="2">
        <f t="shared" si="26"/>
        <v>6.4999999999999982</v>
      </c>
      <c r="H198" s="2">
        <v>13.905333171475473</v>
      </c>
      <c r="I198" s="2">
        <v>2016.7975409245082</v>
      </c>
    </row>
    <row r="199" spans="6:11" x14ac:dyDescent="0.25">
      <c r="F199" s="2">
        <f t="shared" si="27"/>
        <v>12.699999999999998</v>
      </c>
      <c r="G199" s="2">
        <f t="shared" si="26"/>
        <v>6.5999999999999979</v>
      </c>
      <c r="H199" s="2">
        <v>13.787883566446286</v>
      </c>
      <c r="I199" s="2">
        <v>1999.7629203451665</v>
      </c>
    </row>
    <row r="200" spans="6:11" x14ac:dyDescent="0.25">
      <c r="F200" s="2">
        <f t="shared" si="27"/>
        <v>12.799999999999997</v>
      </c>
      <c r="G200" s="2">
        <f t="shared" si="26"/>
        <v>6.6999999999999975</v>
      </c>
      <c r="H200" s="2">
        <v>13.672400371617833</v>
      </c>
      <c r="I200" s="2">
        <v>1983.0135033785957</v>
      </c>
    </row>
    <row r="203" spans="6:11" x14ac:dyDescent="0.25">
      <c r="J203" s="4"/>
      <c r="K203" s="1"/>
    </row>
    <row r="204" spans="6:11" x14ac:dyDescent="0.25">
      <c r="F204" s="4"/>
      <c r="G204" s="1"/>
      <c r="H204" s="4"/>
      <c r="I204" s="1"/>
      <c r="J204" s="4"/>
      <c r="K204" s="1"/>
    </row>
    <row r="205" spans="6:11" x14ac:dyDescent="0.25">
      <c r="F205" s="3"/>
      <c r="G205" s="3"/>
      <c r="H205" s="3"/>
      <c r="I205" s="3"/>
    </row>
    <row r="206" spans="6:11" x14ac:dyDescent="0.25">
      <c r="F206" s="2"/>
      <c r="G206" s="2"/>
      <c r="H206" s="2"/>
      <c r="I206" s="2"/>
    </row>
    <row r="207" spans="6:11" x14ac:dyDescent="0.25">
      <c r="F207" s="2"/>
      <c r="G207" s="2"/>
      <c r="H207" s="2"/>
      <c r="I207" s="2"/>
    </row>
    <row r="208" spans="6:11" x14ac:dyDescent="0.25">
      <c r="F208" s="2"/>
      <c r="G208" s="2"/>
      <c r="H208" s="2"/>
      <c r="I208" s="2"/>
    </row>
    <row r="209" spans="6:9" x14ac:dyDescent="0.25">
      <c r="F209" s="2"/>
      <c r="G209" s="2"/>
      <c r="H209" s="2"/>
      <c r="I209" s="2"/>
    </row>
    <row r="210" spans="6:9" x14ac:dyDescent="0.25">
      <c r="F210" s="2"/>
      <c r="G210" s="2"/>
      <c r="H210" s="2"/>
      <c r="I210" s="2"/>
    </row>
    <row r="211" spans="6:9" x14ac:dyDescent="0.25">
      <c r="F211" s="2"/>
      <c r="G211" s="2"/>
      <c r="H211" s="2"/>
      <c r="I211" s="2"/>
    </row>
    <row r="212" spans="6:9" x14ac:dyDescent="0.25">
      <c r="F212" s="2"/>
      <c r="G212" s="2"/>
      <c r="H212" s="2"/>
      <c r="I212" s="2"/>
    </row>
    <row r="213" spans="6:9" x14ac:dyDescent="0.25">
      <c r="F213" s="2"/>
      <c r="G213" s="2"/>
      <c r="H213" s="2"/>
      <c r="I213" s="2"/>
    </row>
    <row r="214" spans="6:9" x14ac:dyDescent="0.25">
      <c r="F214" s="2"/>
      <c r="G214" s="2"/>
      <c r="H214" s="2"/>
      <c r="I214" s="2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essure1">
                <anchor moveWithCells="1" sizeWithCells="1">
                  <from>
                    <xdr:col>3</xdr:col>
                    <xdr:colOff>47625</xdr:colOff>
                    <xdr:row>9</xdr:row>
                    <xdr:rowOff>123825</xdr:rowOff>
                  </from>
                  <to>
                    <xdr:col>4</xdr:col>
                    <xdr:colOff>457200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2014-04-29T16:37:43Z</dcterms:created>
  <dcterms:modified xsi:type="dcterms:W3CDTF">2014-04-29T18:06:55Z</dcterms:modified>
</cp:coreProperties>
</file>