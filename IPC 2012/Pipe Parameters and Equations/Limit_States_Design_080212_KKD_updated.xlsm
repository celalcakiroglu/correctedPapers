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drawings/drawing2.xml" ContentType="application/vnd.openxmlformats-officedocument.drawing+xml"/>
  <Override PartName="/xl/ctrlProps/ctrlProp4.xml" ContentType="application/vnd.ms-excel.controlproperties+xml"/>
  <Override PartName="/xl/charts/chart12.xml" ContentType="application/vnd.openxmlformats-officedocument.drawingml.chart+xml"/>
  <Override PartName="/xl/drawings/drawing3.xml" ContentType="application/vnd.openxmlformats-officedocument.drawing+xml"/>
  <Override PartName="/xl/ctrlProps/ctrlProp5.xml" ContentType="application/vnd.ms-excel.controlproperties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ctrlProps/ctrlProp6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6.xml" ContentType="application/vnd.openxmlformats-officedocument.drawingml.chartshapes+xml"/>
  <Override PartName="/xl/charts/chart18.xml" ContentType="application/vnd.openxmlformats-officedocument.drawingml.chart+xml"/>
  <Override PartName="/xl/drawings/drawing7.xml" ContentType="application/vnd.openxmlformats-officedocument.drawingml.chartshapes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085" yWindow="405" windowWidth="9525" windowHeight="5295" activeTab="5"/>
  </bookViews>
  <sheets>
    <sheet name="Surface_plots" sheetId="1" r:id="rId1"/>
    <sheet name="Avg_StDev_SurfaceDefect" sheetId="2" r:id="rId2"/>
    <sheet name="Avg_StDev_BuriedDefect" sheetId="3" r:id="rId3"/>
    <sheet name="SecGen" sheetId="4" r:id="rId4"/>
    <sheet name="Datalar" sheetId="5" r:id="rId5"/>
    <sheet name="Bezier" sheetId="6" r:id="rId6"/>
  </sheets>
  <functionGroups builtInGroupCount="17"/>
  <calcPr calcId="145621"/>
</workbook>
</file>

<file path=xl/calcChain.xml><?xml version="1.0" encoding="utf-8"?>
<calcChain xmlns="http://schemas.openxmlformats.org/spreadsheetml/2006/main">
  <c r="AB16" i="6" l="1"/>
  <c r="AD17" i="6"/>
  <c r="AD18" i="6"/>
  <c r="AD19" i="6"/>
  <c r="AD20" i="6"/>
  <c r="AD21" i="6"/>
  <c r="AD22" i="6"/>
  <c r="AD23" i="6"/>
  <c r="AD24" i="6"/>
  <c r="AD25" i="6"/>
  <c r="AD26" i="6"/>
  <c r="AD27" i="6"/>
  <c r="AD28" i="6"/>
  <c r="AD29" i="6"/>
  <c r="AD30" i="6"/>
  <c r="AD31" i="6"/>
  <c r="AD32" i="6"/>
  <c r="AD33" i="6"/>
  <c r="AD34" i="6"/>
  <c r="AD35" i="6"/>
  <c r="AD36" i="6"/>
  <c r="AD16" i="6"/>
  <c r="AC17" i="6"/>
  <c r="AC18" i="6"/>
  <c r="AC19" i="6"/>
  <c r="AC20" i="6"/>
  <c r="AC21" i="6"/>
  <c r="AC22" i="6"/>
  <c r="AC23" i="6"/>
  <c r="AC24" i="6"/>
  <c r="AC25" i="6"/>
  <c r="AC26" i="6"/>
  <c r="AC27" i="6"/>
  <c r="AC28" i="6"/>
  <c r="AC29" i="6"/>
  <c r="AC30" i="6"/>
  <c r="AC31" i="6"/>
  <c r="AC32" i="6"/>
  <c r="AC33" i="6"/>
  <c r="AC34" i="6"/>
  <c r="AC35" i="6"/>
  <c r="AC36" i="6"/>
  <c r="AC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A17" i="6"/>
  <c r="AA18" i="6"/>
  <c r="AA19" i="6"/>
  <c r="AA20" i="6"/>
  <c r="AA21" i="6"/>
  <c r="AA22" i="6"/>
  <c r="AA23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16" i="6"/>
  <c r="Z17" i="6"/>
  <c r="Z18" i="6"/>
  <c r="Z19" i="6"/>
  <c r="Z20" i="6"/>
  <c r="Z21" i="6"/>
  <c r="Z22" i="6"/>
  <c r="Z23" i="6"/>
  <c r="Z24" i="6"/>
  <c r="Z25" i="6"/>
  <c r="Z26" i="6"/>
  <c r="Z27" i="6"/>
  <c r="Z28" i="6"/>
  <c r="Z29" i="6"/>
  <c r="Z30" i="6"/>
  <c r="Z31" i="6"/>
  <c r="Z32" i="6"/>
  <c r="Z33" i="6"/>
  <c r="Z34" i="6"/>
  <c r="Z35" i="6"/>
  <c r="P17" i="6"/>
  <c r="P18" i="6"/>
  <c r="P19" i="6"/>
  <c r="P20" i="6"/>
  <c r="P21" i="6"/>
  <c r="P22" i="6"/>
  <c r="P23" i="6"/>
  <c r="P24" i="6"/>
  <c r="P25" i="6"/>
  <c r="O17" i="6"/>
  <c r="O18" i="6"/>
  <c r="O19" i="6"/>
  <c r="O20" i="6"/>
  <c r="O21" i="6"/>
  <c r="O22" i="6"/>
  <c r="O23" i="6"/>
  <c r="O24" i="6"/>
  <c r="O25" i="6"/>
  <c r="O26" i="6"/>
  <c r="M17" i="6"/>
  <c r="M18" i="6"/>
  <c r="M19" i="6"/>
  <c r="M20" i="6"/>
  <c r="M21" i="6"/>
  <c r="M22" i="6"/>
  <c r="M23" i="6"/>
  <c r="M24" i="6"/>
  <c r="M25" i="6"/>
  <c r="M26" i="6"/>
  <c r="M16" i="6"/>
  <c r="L17" i="6"/>
  <c r="L18" i="6"/>
  <c r="L19" i="6"/>
  <c r="L20" i="6"/>
  <c r="L21" i="6"/>
  <c r="L22" i="6"/>
  <c r="L23" i="6"/>
  <c r="L24" i="6"/>
  <c r="L25" i="6"/>
  <c r="L26" i="6"/>
  <c r="L16" i="6"/>
  <c r="K17" i="6"/>
  <c r="K18" i="6"/>
  <c r="K19" i="6"/>
  <c r="K20" i="6"/>
  <c r="K21" i="6"/>
  <c r="K22" i="6"/>
  <c r="K23" i="6"/>
  <c r="K24" i="6"/>
  <c r="K25" i="6"/>
  <c r="K26" i="6"/>
  <c r="K16" i="6"/>
  <c r="K4" i="6"/>
  <c r="V73" i="6"/>
  <c r="U73" i="6"/>
  <c r="V72" i="6"/>
  <c r="U72" i="6"/>
  <c r="U75" i="6" s="1"/>
  <c r="M4" i="6" l="1"/>
  <c r="M5" i="6"/>
  <c r="M6" i="6"/>
  <c r="M7" i="6"/>
  <c r="M8" i="6"/>
  <c r="M9" i="6"/>
  <c r="M10" i="6"/>
  <c r="M11" i="6"/>
  <c r="M12" i="6"/>
  <c r="M13" i="6"/>
  <c r="M3" i="6"/>
  <c r="L4" i="6"/>
  <c r="L5" i="6"/>
  <c r="L6" i="6"/>
  <c r="L7" i="6"/>
  <c r="L8" i="6"/>
  <c r="L9" i="6"/>
  <c r="L10" i="6"/>
  <c r="L11" i="6"/>
  <c r="L12" i="6"/>
  <c r="L13" i="6"/>
  <c r="L3" i="6"/>
  <c r="K5" i="6"/>
  <c r="K6" i="6"/>
  <c r="K7" i="6"/>
  <c r="K8" i="6"/>
  <c r="K9" i="6"/>
  <c r="K10" i="6"/>
  <c r="K11" i="6"/>
  <c r="K12" i="6"/>
  <c r="K13" i="6"/>
  <c r="K3" i="6"/>
  <c r="X10" i="3" l="1"/>
  <c r="X9" i="3"/>
  <c r="K17" i="3"/>
  <c r="W5" i="3"/>
  <c r="X5" i="3"/>
  <c r="Y5" i="3"/>
  <c r="Z5" i="3"/>
  <c r="W6" i="3"/>
  <c r="X6" i="3"/>
  <c r="Y6" i="3"/>
  <c r="Z6" i="3"/>
  <c r="W7" i="3"/>
  <c r="X7" i="3"/>
  <c r="Y7" i="3"/>
  <c r="Z7" i="3"/>
  <c r="W8" i="3"/>
  <c r="X8" i="3"/>
  <c r="Y8" i="3"/>
  <c r="Z8" i="3"/>
  <c r="W9" i="3"/>
  <c r="Y9" i="3"/>
  <c r="Z9" i="3"/>
  <c r="W10" i="3"/>
  <c r="Y10" i="3"/>
  <c r="Z10" i="3"/>
  <c r="K45" i="3"/>
  <c r="L45" i="3" s="1"/>
  <c r="K44" i="3"/>
  <c r="L43" i="3"/>
  <c r="L42" i="3"/>
  <c r="L41" i="3"/>
  <c r="L40" i="3"/>
  <c r="S7" i="2" l="1"/>
  <c r="T7" i="2"/>
  <c r="S8" i="2"/>
  <c r="T8" i="2"/>
  <c r="S9" i="2"/>
  <c r="T9" i="2"/>
  <c r="S10" i="2"/>
  <c r="T10" i="2"/>
  <c r="R10" i="2"/>
  <c r="R9" i="2"/>
  <c r="R8" i="2"/>
  <c r="H20" i="2"/>
  <c r="H18" i="2"/>
  <c r="R7" i="2"/>
  <c r="H16" i="2"/>
</calcChain>
</file>

<file path=xl/sharedStrings.xml><?xml version="1.0" encoding="utf-8"?>
<sst xmlns="http://schemas.openxmlformats.org/spreadsheetml/2006/main" count="287" uniqueCount="144">
  <si>
    <t>C.6.3 Limit States Design</t>
  </si>
  <si>
    <t>C.6.3.1.3.1 Equations:</t>
  </si>
  <si>
    <t>Tensile Strain Capacity according to CSA Z662-11</t>
  </si>
  <si>
    <t>δ = apparent CTOD toughness [mm]</t>
  </si>
  <si>
    <t>λ = ratio of yield strength to tensile strength (Y/T)</t>
  </si>
  <si>
    <t>ξ = ratio of defect length to pipe wall thickness (2c/t)</t>
  </si>
  <si>
    <t>η = ratio of defect height to pipe wall thickness (a/t, 2a/t)</t>
  </si>
  <si>
    <t>ψ = ratio of defect depth to pipe wall thickness (d/t)</t>
  </si>
  <si>
    <t>t = pipe wall thickness</t>
  </si>
  <si>
    <t>Conditions:</t>
  </si>
  <si>
    <t>The values in the equations shall be as follows:</t>
  </si>
  <si>
    <t>0.7 ≤ λ ≤ 0.95</t>
  </si>
  <si>
    <t xml:space="preserve"> </t>
  </si>
  <si>
    <t>0.1 ≤ δ ≤ 0.3</t>
  </si>
  <si>
    <t>1 ≤ ξ ≤ 10</t>
  </si>
  <si>
    <t>η ≤ 0.5</t>
  </si>
  <si>
    <t>λ=</t>
  </si>
  <si>
    <t>ξ</t>
  </si>
  <si>
    <t>η</t>
  </si>
  <si>
    <r>
      <t>ε</t>
    </r>
    <r>
      <rPr>
        <vertAlign val="subscript"/>
        <sz val="16"/>
        <color indexed="8"/>
        <rFont val="Calibri"/>
        <family val="2"/>
      </rPr>
      <t>t</t>
    </r>
    <r>
      <rPr>
        <vertAlign val="superscript"/>
        <sz val="16"/>
        <color indexed="8"/>
        <rFont val="Calibri"/>
        <family val="2"/>
      </rPr>
      <t>crit</t>
    </r>
    <r>
      <rPr>
        <sz val="16"/>
        <color indexed="8"/>
        <rFont val="Calibri"/>
        <family val="2"/>
      </rPr>
      <t>=δ</t>
    </r>
    <r>
      <rPr>
        <vertAlign val="superscript"/>
        <sz val="16"/>
        <color indexed="8"/>
        <rFont val="Calibri"/>
        <family val="2"/>
      </rPr>
      <t>(2.36-1.58λ-0.101ξη)</t>
    </r>
    <r>
      <rPr>
        <sz val="16"/>
        <color indexed="8"/>
        <rFont val="Calibri"/>
        <family val="2"/>
      </rPr>
      <t>(1+16.1λ</t>
    </r>
    <r>
      <rPr>
        <vertAlign val="superscript"/>
        <sz val="16"/>
        <color indexed="8"/>
        <rFont val="Calibri"/>
        <family val="2"/>
      </rPr>
      <t>-4.45</t>
    </r>
    <r>
      <rPr>
        <sz val="16"/>
        <color indexed="8"/>
        <rFont val="Calibri"/>
        <family val="2"/>
      </rPr>
      <t>)(-0.157+0.239ξ</t>
    </r>
    <r>
      <rPr>
        <vertAlign val="superscript"/>
        <sz val="16"/>
        <color indexed="8"/>
        <rFont val="Calibri"/>
        <family val="2"/>
      </rPr>
      <t>-0.241</t>
    </r>
    <r>
      <rPr>
        <sz val="16"/>
        <color indexed="8"/>
        <rFont val="Calibri"/>
        <family val="2"/>
      </rPr>
      <t>η</t>
    </r>
    <r>
      <rPr>
        <vertAlign val="superscript"/>
        <sz val="16"/>
        <color indexed="8"/>
        <rFont val="Calibri"/>
        <family val="2"/>
      </rPr>
      <t>-0.315</t>
    </r>
    <r>
      <rPr>
        <sz val="16"/>
        <color indexed="8"/>
        <rFont val="Calibri"/>
        <family val="2"/>
      </rPr>
      <t>)</t>
    </r>
  </si>
  <si>
    <r>
      <t>ε</t>
    </r>
    <r>
      <rPr>
        <vertAlign val="subscript"/>
        <sz val="16"/>
        <color indexed="8"/>
        <rFont val="Calibri"/>
        <family val="2"/>
      </rPr>
      <t>t</t>
    </r>
    <r>
      <rPr>
        <vertAlign val="superscript"/>
        <sz val="16"/>
        <color indexed="8"/>
        <rFont val="Calibri"/>
        <family val="2"/>
      </rPr>
      <t>crit</t>
    </r>
    <r>
      <rPr>
        <sz val="16"/>
        <color indexed="8"/>
        <rFont val="Calibri"/>
        <family val="2"/>
      </rPr>
      <t>=ε</t>
    </r>
    <r>
      <rPr>
        <vertAlign val="subscript"/>
        <sz val="16"/>
        <color indexed="8"/>
        <rFont val="Calibri"/>
        <family val="2"/>
      </rPr>
      <t>t</t>
    </r>
    <r>
      <rPr>
        <vertAlign val="superscript"/>
        <sz val="16"/>
        <color indexed="8"/>
        <rFont val="Calibri"/>
        <family val="2"/>
      </rPr>
      <t>crit</t>
    </r>
    <r>
      <rPr>
        <sz val="16"/>
        <color indexed="8"/>
        <rFont val="Calibri"/>
        <family val="2"/>
      </rPr>
      <t>(δ, η, λ, ξ)</t>
    </r>
  </si>
  <si>
    <t>η = ratio of defect height to pipe wall thickness (a/t)</t>
  </si>
  <si>
    <r>
      <t>ε</t>
    </r>
    <r>
      <rPr>
        <vertAlign val="subscript"/>
        <sz val="16"/>
        <color indexed="8"/>
        <rFont val="Calibri"/>
        <family val="2"/>
      </rPr>
      <t>t</t>
    </r>
    <r>
      <rPr>
        <vertAlign val="superscript"/>
        <sz val="16"/>
        <color indexed="8"/>
        <rFont val="Calibri"/>
        <family val="2"/>
      </rPr>
      <t>crit</t>
    </r>
    <r>
      <rPr>
        <sz val="16"/>
        <color indexed="8"/>
        <rFont val="Calibri"/>
        <family val="2"/>
      </rPr>
      <t>=δ</t>
    </r>
    <r>
      <rPr>
        <vertAlign val="superscript"/>
        <sz val="16"/>
        <color indexed="8"/>
        <rFont val="Calibri"/>
        <family val="2"/>
      </rPr>
      <t>(1.08-0.612η-0.0735ξ+0.364ψ)</t>
    </r>
    <r>
      <rPr>
        <sz val="16"/>
        <color indexed="8"/>
        <rFont val="Calibri"/>
        <family val="2"/>
      </rPr>
      <t>(12.3-4.65√t+0.495t)(11.8-10.6λ)(-5.14+0.992/ψ+20.1ψ)</t>
    </r>
  </si>
  <si>
    <r>
      <t>(-3.63+11.0√η-8.44η)(-0.836+0.733η+0.0483ξ+(3.49-14.6η-12.9ψ)/(1+ξ</t>
    </r>
    <r>
      <rPr>
        <vertAlign val="superscript"/>
        <sz val="16"/>
        <color indexed="8"/>
        <rFont val="Calibri"/>
        <family val="2"/>
      </rPr>
      <t>1.84</t>
    </r>
    <r>
      <rPr>
        <sz val="16"/>
        <color indexed="8"/>
        <rFont val="Calibri"/>
        <family val="2"/>
      </rPr>
      <t>))</t>
    </r>
  </si>
  <si>
    <r>
      <t>ε</t>
    </r>
    <r>
      <rPr>
        <vertAlign val="subscript"/>
        <sz val="16"/>
        <color indexed="8"/>
        <rFont val="Calibri"/>
        <family val="2"/>
      </rPr>
      <t>t</t>
    </r>
    <r>
      <rPr>
        <vertAlign val="superscript"/>
        <sz val="16"/>
        <color indexed="8"/>
        <rFont val="Calibri"/>
        <family val="2"/>
      </rPr>
      <t>crit</t>
    </r>
    <r>
      <rPr>
        <sz val="16"/>
        <color indexed="8"/>
        <rFont val="Calibri"/>
        <family val="2"/>
      </rPr>
      <t>=ε</t>
    </r>
    <r>
      <rPr>
        <vertAlign val="subscript"/>
        <sz val="16"/>
        <color indexed="8"/>
        <rFont val="Calibri"/>
        <family val="2"/>
      </rPr>
      <t>t</t>
    </r>
    <r>
      <rPr>
        <vertAlign val="superscript"/>
        <sz val="16"/>
        <color indexed="8"/>
        <rFont val="Calibri"/>
        <family val="2"/>
      </rPr>
      <t>crit</t>
    </r>
    <r>
      <rPr>
        <sz val="16"/>
        <color indexed="8"/>
        <rFont val="Calibri"/>
        <family val="2"/>
      </rPr>
      <t>(δ, η, λ, ψ, ξ, t)</t>
    </r>
  </si>
  <si>
    <t>δ=</t>
  </si>
  <si>
    <t>b) Tensile strain capacity for BURIED DEFECTS:</t>
  </si>
  <si>
    <t>a) Tensile strain capacity for SURFACE BREAKING DEFECTS:</t>
  </si>
  <si>
    <t>ξ=</t>
  </si>
  <si>
    <t>η=</t>
  </si>
  <si>
    <t>λ</t>
  </si>
  <si>
    <t>δ</t>
  </si>
  <si>
    <r>
      <t xml:space="preserve">Dependence of </t>
    </r>
    <r>
      <rPr>
        <b/>
        <u/>
        <sz val="11"/>
        <color indexed="8"/>
        <rFont val="Calibri"/>
        <family val="2"/>
      </rPr>
      <t>ε</t>
    </r>
    <r>
      <rPr>
        <b/>
        <u/>
        <vertAlign val="subscript"/>
        <sz val="11"/>
        <color indexed="8"/>
        <rFont val="Calibri"/>
        <family val="2"/>
      </rPr>
      <t>t</t>
    </r>
    <r>
      <rPr>
        <b/>
        <u/>
        <vertAlign val="superscript"/>
        <sz val="11"/>
        <color indexed="8"/>
        <rFont val="Calibri"/>
        <family val="2"/>
      </rPr>
      <t>crit</t>
    </r>
    <r>
      <rPr>
        <u/>
        <sz val="11"/>
        <color indexed="8"/>
        <rFont val="Calibri"/>
        <family val="2"/>
      </rPr>
      <t xml:space="preserve">  on </t>
    </r>
    <r>
      <rPr>
        <b/>
        <u/>
        <sz val="11"/>
        <color indexed="8"/>
        <rFont val="Calibri"/>
        <family val="2"/>
      </rPr>
      <t>ξ</t>
    </r>
    <r>
      <rPr>
        <u/>
        <sz val="11"/>
        <color indexed="8"/>
        <rFont val="Calibri"/>
        <family val="2"/>
      </rPr>
      <t xml:space="preserve"> and </t>
    </r>
    <r>
      <rPr>
        <b/>
        <u/>
        <sz val="11"/>
        <color indexed="8"/>
        <rFont val="Calibri"/>
        <family val="2"/>
      </rPr>
      <t>η</t>
    </r>
    <r>
      <rPr>
        <u/>
        <sz val="11"/>
        <color indexed="8"/>
        <rFont val="Calibri"/>
        <family val="2"/>
      </rPr>
      <t xml:space="preserve"> for constant </t>
    </r>
    <r>
      <rPr>
        <b/>
        <u/>
        <sz val="11"/>
        <color indexed="8"/>
        <rFont val="Calibri"/>
        <family val="2"/>
      </rPr>
      <t xml:space="preserve">λ </t>
    </r>
    <r>
      <rPr>
        <u/>
        <sz val="11"/>
        <color indexed="8"/>
        <rFont val="Calibri"/>
        <family val="2"/>
      </rPr>
      <t xml:space="preserve">and </t>
    </r>
    <r>
      <rPr>
        <b/>
        <u/>
        <sz val="11"/>
        <color indexed="8"/>
        <rFont val="Calibri"/>
        <family val="2"/>
      </rPr>
      <t>δ</t>
    </r>
    <r>
      <rPr>
        <u/>
        <sz val="11"/>
        <color indexed="8"/>
        <rFont val="Calibri"/>
        <family val="2"/>
      </rPr>
      <t xml:space="preserve">  by </t>
    </r>
    <r>
      <rPr>
        <b/>
        <u/>
        <sz val="11"/>
        <color indexed="8"/>
        <rFont val="Calibri"/>
        <family val="2"/>
      </rPr>
      <t>SURFACE BREAKING DEFECT</t>
    </r>
  </si>
  <si>
    <r>
      <t xml:space="preserve">Dependence of </t>
    </r>
    <r>
      <rPr>
        <b/>
        <u/>
        <sz val="11"/>
        <color indexed="8"/>
        <rFont val="Calibri"/>
        <family val="2"/>
      </rPr>
      <t>ε</t>
    </r>
    <r>
      <rPr>
        <b/>
        <u/>
        <vertAlign val="subscript"/>
        <sz val="11"/>
        <color indexed="8"/>
        <rFont val="Calibri"/>
        <family val="2"/>
      </rPr>
      <t>t</t>
    </r>
    <r>
      <rPr>
        <b/>
        <u/>
        <vertAlign val="superscript"/>
        <sz val="11"/>
        <color indexed="8"/>
        <rFont val="Calibri"/>
        <family val="2"/>
      </rPr>
      <t>crit</t>
    </r>
    <r>
      <rPr>
        <u/>
        <sz val="11"/>
        <color indexed="8"/>
        <rFont val="Calibri"/>
        <family val="2"/>
      </rPr>
      <t xml:space="preserve">  on </t>
    </r>
    <r>
      <rPr>
        <b/>
        <u/>
        <sz val="11"/>
        <color indexed="8"/>
        <rFont val="Calibri"/>
        <family val="2"/>
      </rPr>
      <t>λ</t>
    </r>
    <r>
      <rPr>
        <u/>
        <sz val="11"/>
        <color indexed="8"/>
        <rFont val="Calibri"/>
        <family val="2"/>
      </rPr>
      <t xml:space="preserve"> and </t>
    </r>
    <r>
      <rPr>
        <b/>
        <u/>
        <sz val="11"/>
        <color indexed="8"/>
        <rFont val="Calibri"/>
        <family val="2"/>
      </rPr>
      <t xml:space="preserve">δ </t>
    </r>
    <r>
      <rPr>
        <u/>
        <sz val="11"/>
        <color indexed="8"/>
        <rFont val="Calibri"/>
        <family val="2"/>
      </rPr>
      <t>for constant</t>
    </r>
    <r>
      <rPr>
        <b/>
        <u/>
        <sz val="11"/>
        <color indexed="8"/>
        <rFont val="Calibri"/>
        <family val="2"/>
      </rPr>
      <t xml:space="preserve"> ξ</t>
    </r>
    <r>
      <rPr>
        <u/>
        <sz val="11"/>
        <color indexed="8"/>
        <rFont val="Calibri"/>
        <family val="2"/>
      </rPr>
      <t xml:space="preserve"> and </t>
    </r>
    <r>
      <rPr>
        <b/>
        <u/>
        <sz val="11"/>
        <color indexed="8"/>
        <rFont val="Calibri"/>
        <family val="2"/>
      </rPr>
      <t>η</t>
    </r>
    <r>
      <rPr>
        <u/>
        <sz val="11"/>
        <color indexed="8"/>
        <rFont val="Calibri"/>
        <family val="2"/>
      </rPr>
      <t xml:space="preserve">  by </t>
    </r>
    <r>
      <rPr>
        <b/>
        <u/>
        <sz val="11"/>
        <color indexed="8"/>
        <rFont val="Calibri"/>
        <family val="2"/>
      </rPr>
      <t>SURFACE BREAKING DEFECT</t>
    </r>
  </si>
  <si>
    <r>
      <t xml:space="preserve">Dependence of </t>
    </r>
    <r>
      <rPr>
        <b/>
        <u/>
        <sz val="11"/>
        <color indexed="8"/>
        <rFont val="Calibri"/>
        <family val="2"/>
      </rPr>
      <t>ε</t>
    </r>
    <r>
      <rPr>
        <b/>
        <u/>
        <vertAlign val="subscript"/>
        <sz val="11"/>
        <color indexed="8"/>
        <rFont val="Calibri"/>
        <family val="2"/>
      </rPr>
      <t>t</t>
    </r>
    <r>
      <rPr>
        <b/>
        <u/>
        <vertAlign val="superscript"/>
        <sz val="11"/>
        <color indexed="8"/>
        <rFont val="Calibri"/>
        <family val="2"/>
      </rPr>
      <t>crit</t>
    </r>
    <r>
      <rPr>
        <u/>
        <sz val="11"/>
        <color indexed="8"/>
        <rFont val="Calibri"/>
        <family val="2"/>
      </rPr>
      <t xml:space="preserve">  on </t>
    </r>
    <r>
      <rPr>
        <b/>
        <u/>
        <sz val="11"/>
        <color indexed="8"/>
        <rFont val="Calibri"/>
        <family val="2"/>
      </rPr>
      <t>ξ</t>
    </r>
    <r>
      <rPr>
        <u/>
        <sz val="11"/>
        <color indexed="8"/>
        <rFont val="Calibri"/>
        <family val="2"/>
      </rPr>
      <t xml:space="preserve"> and </t>
    </r>
    <r>
      <rPr>
        <b/>
        <u/>
        <sz val="11"/>
        <color indexed="8"/>
        <rFont val="Calibri"/>
        <family val="2"/>
      </rPr>
      <t>η</t>
    </r>
    <r>
      <rPr>
        <u/>
        <sz val="11"/>
        <color indexed="8"/>
        <rFont val="Calibri"/>
        <family val="2"/>
      </rPr>
      <t xml:space="preserve"> for constant </t>
    </r>
    <r>
      <rPr>
        <b/>
        <u/>
        <sz val="11"/>
        <color indexed="8"/>
        <rFont val="Calibri"/>
        <family val="2"/>
      </rPr>
      <t xml:space="preserve">λ </t>
    </r>
    <r>
      <rPr>
        <u/>
        <sz val="11"/>
        <color indexed="8"/>
        <rFont val="Calibri"/>
        <family val="2"/>
      </rPr>
      <t xml:space="preserve">and </t>
    </r>
    <r>
      <rPr>
        <b/>
        <u/>
        <sz val="11"/>
        <color indexed="8"/>
        <rFont val="Calibri"/>
        <family val="2"/>
      </rPr>
      <t>δ</t>
    </r>
    <r>
      <rPr>
        <u/>
        <sz val="11"/>
        <color indexed="8"/>
        <rFont val="Calibri"/>
        <family val="2"/>
      </rPr>
      <t xml:space="preserve">  by </t>
    </r>
    <r>
      <rPr>
        <b/>
        <u/>
        <sz val="11"/>
        <color indexed="8"/>
        <rFont val="Calibri"/>
        <family val="2"/>
      </rPr>
      <t>BURIED DEFECT</t>
    </r>
  </si>
  <si>
    <t>Ψ=</t>
  </si>
  <si>
    <t>(Ψ) D/t ≥ 32</t>
  </si>
  <si>
    <t>t=</t>
  </si>
  <si>
    <t>[mm]</t>
  </si>
  <si>
    <t>The pipe wall thickness t is taken from the paper</t>
  </si>
  <si>
    <t>"Toughness Considerations for Strain-Based Design"</t>
  </si>
  <si>
    <t>by Wang et al.</t>
  </si>
  <si>
    <t>12.7 [mm]</t>
  </si>
  <si>
    <t>The heigher tensile strain capacities lie in the region</t>
  </si>
  <si>
    <t xml:space="preserve">The range </t>
  </si>
  <si>
    <t>has been investigated with finer intervals</t>
  </si>
  <si>
    <t>0.1 ≤ η ≤ 0.25</t>
  </si>
  <si>
    <t>1≤ ξ ≤ 4</t>
  </si>
  <si>
    <t>0 ≤ η ≤ 0.25</t>
  </si>
  <si>
    <t>Surface breaking defect</t>
  </si>
  <si>
    <t>min</t>
  </si>
  <si>
    <t>Trial</t>
  </si>
  <si>
    <t>mid</t>
  </si>
  <si>
    <t>max</t>
  </si>
  <si>
    <t>Average</t>
  </si>
  <si>
    <t>StDev</t>
  </si>
  <si>
    <r>
      <t>ε</t>
    </r>
    <r>
      <rPr>
        <vertAlign val="subscript"/>
        <sz val="11"/>
        <color indexed="8"/>
        <rFont val="Calibri"/>
        <family val="2"/>
      </rPr>
      <t>t</t>
    </r>
    <r>
      <rPr>
        <vertAlign val="superscript"/>
        <sz val="11"/>
        <color indexed="8"/>
        <rFont val="Calibri"/>
        <family val="2"/>
      </rPr>
      <t>crit</t>
    </r>
  </si>
  <si>
    <t>Buried Defect</t>
  </si>
  <si>
    <t>Ψ</t>
  </si>
  <si>
    <t>t</t>
  </si>
  <si>
    <t xml:space="preserve">min </t>
  </si>
  <si>
    <t>Max</t>
  </si>
  <si>
    <t>Min</t>
  </si>
  <si>
    <t>average</t>
  </si>
  <si>
    <t>SECOND GENERATION MODELS FOR STRAIN-BASED DESIGN</t>
  </si>
  <si>
    <r>
      <rPr>
        <sz val="11"/>
        <color theme="1"/>
        <rFont val="Times New Roman"/>
        <family val="1"/>
      </rPr>
      <t>η</t>
    </r>
    <r>
      <rPr>
        <sz val="11"/>
        <color theme="1"/>
        <rFont val="Calibri"/>
        <family val="2"/>
      </rPr>
      <t>=a/t</t>
    </r>
  </si>
  <si>
    <t>(flaw height / pipe wall thickness)</t>
  </si>
  <si>
    <r>
      <rPr>
        <sz val="11"/>
        <color theme="1"/>
        <rFont val="Times New Roman"/>
        <family val="1"/>
      </rPr>
      <t>β</t>
    </r>
    <r>
      <rPr>
        <sz val="11"/>
        <color theme="1"/>
        <rFont val="Calibri"/>
        <family val="2"/>
      </rPr>
      <t>=2c/t</t>
    </r>
  </si>
  <si>
    <t>(flaw length / pipe wall thickness)</t>
  </si>
  <si>
    <r>
      <rPr>
        <sz val="11"/>
        <color theme="1"/>
        <rFont val="Times New Roman"/>
        <family val="1"/>
      </rPr>
      <t>ψ</t>
    </r>
    <r>
      <rPr>
        <sz val="11"/>
        <color theme="1"/>
        <rFont val="Calibri"/>
        <family val="2"/>
      </rPr>
      <t>=h/t</t>
    </r>
  </si>
  <si>
    <t>(normalized girth weld high-low misalignment)</t>
  </si>
  <si>
    <t>(base metal Y/T ratio)</t>
  </si>
  <si>
    <r>
      <rPr>
        <sz val="11"/>
        <color theme="1"/>
        <rFont val="Times New Roman"/>
        <family val="1"/>
      </rPr>
      <t>ξ</t>
    </r>
    <r>
      <rPr>
        <sz val="11"/>
        <color theme="1"/>
        <rFont val="Calibri"/>
        <family val="2"/>
      </rPr>
      <t>=</t>
    </r>
    <r>
      <rPr>
        <sz val="11"/>
        <color theme="1"/>
        <rFont val="Times New Roman"/>
        <family val="1"/>
      </rPr>
      <t>σ</t>
    </r>
    <r>
      <rPr>
        <vertAlign val="subscript"/>
        <sz val="11"/>
        <color theme="1"/>
        <rFont val="Times New Roman"/>
        <family val="1"/>
      </rPr>
      <t>y</t>
    </r>
    <r>
      <rPr>
        <sz val="11"/>
        <color theme="1"/>
        <rFont val="Times New Roman"/>
        <family val="1"/>
      </rPr>
      <t xml:space="preserve"> / σ</t>
    </r>
    <r>
      <rPr>
        <vertAlign val="subscript"/>
        <sz val="11"/>
        <color theme="1"/>
        <rFont val="Times New Roman"/>
        <family val="1"/>
      </rPr>
      <t>u</t>
    </r>
  </si>
  <si>
    <r>
      <rPr>
        <sz val="11"/>
        <color theme="1"/>
        <rFont val="Times New Roman"/>
        <family val="1"/>
      </rPr>
      <t>ϕ</t>
    </r>
    <r>
      <rPr>
        <sz val="11"/>
        <color theme="1"/>
        <rFont val="Calibri"/>
        <family val="2"/>
      </rPr>
      <t xml:space="preserve">= </t>
    </r>
    <r>
      <rPr>
        <sz val="11"/>
        <color theme="1"/>
        <rFont val="Times New Roman"/>
        <family val="1"/>
      </rPr>
      <t>σ</t>
    </r>
    <r>
      <rPr>
        <vertAlign val="subscript"/>
        <sz val="11"/>
        <color theme="1"/>
        <rFont val="Times New Roman"/>
        <family val="1"/>
      </rPr>
      <t>u</t>
    </r>
    <r>
      <rPr>
        <vertAlign val="superscript"/>
        <sz val="11"/>
        <color theme="1"/>
        <rFont val="Times New Roman"/>
        <family val="1"/>
      </rPr>
      <t>w</t>
    </r>
    <r>
      <rPr>
        <sz val="11"/>
        <color theme="1"/>
        <rFont val="Times New Roman"/>
        <family val="1"/>
      </rPr>
      <t>/σ</t>
    </r>
    <r>
      <rPr>
        <vertAlign val="subscript"/>
        <sz val="11"/>
        <color theme="1"/>
        <rFont val="Times New Roman"/>
        <family val="1"/>
      </rPr>
      <t>u</t>
    </r>
  </si>
  <si>
    <t>(weld metal strength mismatch ratio measured at ultimate tensile strength)</t>
  </si>
  <si>
    <r>
      <rPr>
        <sz val="11"/>
        <color theme="1"/>
        <rFont val="Times New Roman"/>
        <family val="1"/>
      </rPr>
      <t>δ</t>
    </r>
    <r>
      <rPr>
        <vertAlign val="subscript"/>
        <sz val="11"/>
        <color theme="1"/>
        <rFont val="Calibri"/>
        <family val="2"/>
      </rPr>
      <t>A</t>
    </r>
  </si>
  <si>
    <t>(girth weld apparent CTOD toughness)</t>
  </si>
  <si>
    <t>(pressure factor, ratio of applied hoop stress to pipe yield strength)</t>
  </si>
  <si>
    <r>
      <t>f</t>
    </r>
    <r>
      <rPr>
        <vertAlign val="subscript"/>
        <sz val="11"/>
        <color theme="1"/>
        <rFont val="Calibri"/>
        <family val="2"/>
      </rPr>
      <t>p</t>
    </r>
  </si>
  <si>
    <r>
      <rPr>
        <sz val="11"/>
        <color theme="1"/>
        <rFont val="Times New Roman"/>
        <family val="1"/>
      </rPr>
      <t>δ</t>
    </r>
    <r>
      <rPr>
        <sz val="11"/>
        <color theme="1"/>
        <rFont val="Calibri"/>
        <family val="2"/>
      </rPr>
      <t>=</t>
    </r>
  </si>
  <si>
    <r>
      <rPr>
        <sz val="11"/>
        <color theme="1"/>
        <rFont val="Times New Roman"/>
        <family val="1"/>
      </rPr>
      <t>ϕ</t>
    </r>
    <r>
      <rPr>
        <sz val="11"/>
        <color theme="1"/>
        <rFont val="Calibri"/>
        <family val="2"/>
      </rPr>
      <t>=</t>
    </r>
  </si>
  <si>
    <r>
      <t>f</t>
    </r>
    <r>
      <rPr>
        <vertAlign val="subscript"/>
        <sz val="11"/>
        <color theme="1"/>
        <rFont val="Calibri"/>
        <family val="2"/>
      </rPr>
      <t>p</t>
    </r>
    <r>
      <rPr>
        <sz val="11"/>
        <color theme="1"/>
        <rFont val="Calibri"/>
        <family val="2"/>
      </rPr>
      <t>=</t>
    </r>
  </si>
  <si>
    <t>β</t>
  </si>
  <si>
    <r>
      <t>(</t>
    </r>
    <r>
      <rPr>
        <sz val="11"/>
        <color theme="1"/>
        <rFont val="Times New Roman"/>
        <family val="1"/>
      </rPr>
      <t>ξ</t>
    </r>
    <r>
      <rPr>
        <sz val="11"/>
        <color theme="1"/>
        <rFont val="Calibri"/>
        <family val="2"/>
      </rPr>
      <t>)</t>
    </r>
    <r>
      <rPr>
        <sz val="11"/>
        <color theme="1"/>
        <rFont val="Calibri"/>
        <family val="2"/>
      </rPr>
      <t xml:space="preserve">Y/T = </t>
    </r>
  </si>
  <si>
    <t>Hoop stress</t>
  </si>
  <si>
    <t>TSCp for GMAW (gas metal arc welding)</t>
  </si>
  <si>
    <t>TSCp for both GMAW and FCAW / SMAW , adopts the following form:</t>
  </si>
  <si>
    <t>GMAW = gas metal arc welding</t>
  </si>
  <si>
    <t>FCAW = flux- cored arc welding</t>
  </si>
  <si>
    <t>SMAW = shielded metal arc welding</t>
  </si>
  <si>
    <r>
      <rPr>
        <sz val="11"/>
        <color theme="1"/>
        <rFont val="Times New Roman"/>
        <family val="1"/>
      </rPr>
      <t>ψ</t>
    </r>
    <r>
      <rPr>
        <sz val="11"/>
        <color theme="1"/>
        <rFont val="Calibri"/>
        <family val="2"/>
      </rPr>
      <t>=</t>
    </r>
  </si>
  <si>
    <t>ksi</t>
  </si>
  <si>
    <t>m1</t>
  </si>
  <si>
    <t>delta = 0.3</t>
  </si>
  <si>
    <t>delta = 0.2</t>
  </si>
  <si>
    <t>lambda=0.7</t>
  </si>
  <si>
    <t>lambda=0.8</t>
  </si>
  <si>
    <t>lambda=0.9</t>
  </si>
  <si>
    <r>
      <rPr>
        <sz val="11"/>
        <color theme="1"/>
        <rFont val="Times New Roman"/>
        <family val="1"/>
      </rPr>
      <t>λ</t>
    </r>
    <r>
      <rPr>
        <sz val="11"/>
        <color theme="1"/>
        <rFont val="Calibri"/>
        <family val="2"/>
      </rPr>
      <t>=0.8</t>
    </r>
  </si>
  <si>
    <t>delta = 0.25</t>
  </si>
  <si>
    <t>delta=0.15</t>
  </si>
  <si>
    <t>delta=0.1</t>
  </si>
  <si>
    <t>Tum Graflarin datasi</t>
  </si>
  <si>
    <t>delta Variation</t>
  </si>
  <si>
    <t>Ksi = 2</t>
  </si>
  <si>
    <t>lambda = 0.8</t>
  </si>
  <si>
    <t>Ksi = 5</t>
  </si>
  <si>
    <t>Ksi = 8</t>
  </si>
  <si>
    <t>change in  δ</t>
  </si>
  <si>
    <t>change in tsc</t>
  </si>
  <si>
    <t>lambda=0.75</t>
  </si>
  <si>
    <t>lambda=0.85</t>
  </si>
  <si>
    <t>lambda=0.95</t>
  </si>
  <si>
    <r>
      <t xml:space="preserve">change in </t>
    </r>
    <r>
      <rPr>
        <sz val="11"/>
        <color theme="1"/>
        <rFont val="Times New Roman"/>
        <family val="1"/>
      </rPr>
      <t>λ</t>
    </r>
    <r>
      <rPr>
        <sz val="7.7"/>
        <color theme="1"/>
        <rFont val="Calibri"/>
        <family val="2"/>
      </rPr>
      <t xml:space="preserve"> </t>
    </r>
  </si>
  <si>
    <t xml:space="preserve">Variation of           with respect to         for                   according to   CSA </t>
  </si>
  <si>
    <t>CSA</t>
  </si>
  <si>
    <t>thickness correlation function developed using curve fitting for t = 0.5 in, 0.75 in and 1.0 inch from FEA</t>
  </si>
  <si>
    <t>lambda variation</t>
  </si>
  <si>
    <t>Surface defects</t>
  </si>
  <si>
    <r>
      <rPr>
        <sz val="11"/>
        <color theme="1"/>
        <rFont val="Times New Roman"/>
        <family val="1"/>
      </rPr>
      <t>δ</t>
    </r>
    <r>
      <rPr>
        <sz val="11"/>
        <color theme="1"/>
        <rFont val="Calibri"/>
        <family val="2"/>
      </rPr>
      <t>=0.2,   ksi = 8</t>
    </r>
  </si>
  <si>
    <r>
      <t>B</t>
    </r>
    <r>
      <rPr>
        <vertAlign val="subscript"/>
        <sz val="11"/>
        <color theme="1"/>
        <rFont val="Calibri"/>
        <family val="2"/>
      </rPr>
      <t>m,0</t>
    </r>
  </si>
  <si>
    <r>
      <t>B</t>
    </r>
    <r>
      <rPr>
        <vertAlign val="subscript"/>
        <sz val="11"/>
        <color theme="1"/>
        <rFont val="Calibri"/>
        <family val="2"/>
      </rPr>
      <t>m,1</t>
    </r>
  </si>
  <si>
    <r>
      <t>B</t>
    </r>
    <r>
      <rPr>
        <vertAlign val="subscript"/>
        <sz val="11"/>
        <color theme="1"/>
        <rFont val="Calibri"/>
        <family val="2"/>
      </rPr>
      <t>m,2</t>
    </r>
  </si>
  <si>
    <t>CSA Z662-11</t>
  </si>
  <si>
    <t>Bezier surface of order (2,2)</t>
  </si>
  <si>
    <t>Bezier surface created using 9 control points</t>
  </si>
  <si>
    <t>9 control points</t>
  </si>
  <si>
    <t>Bezier surface created using 20 control points</t>
  </si>
  <si>
    <t>20 control points</t>
  </si>
  <si>
    <t>Bezier surface of order (4,3)</t>
  </si>
  <si>
    <t>errors in percent</t>
  </si>
  <si>
    <t>average error for 20 control points</t>
  </si>
  <si>
    <t>surface plot for 9 control points</t>
  </si>
  <si>
    <t>surface plot for 20 control points</t>
  </si>
  <si>
    <t>m=n=2</t>
  </si>
  <si>
    <t>m=</t>
  </si>
  <si>
    <t>n=</t>
  </si>
  <si>
    <r>
      <t>B</t>
    </r>
    <r>
      <rPr>
        <vertAlign val="subscript"/>
        <sz val="11"/>
        <color theme="1"/>
        <rFont val="Calibri"/>
        <family val="2"/>
      </rPr>
      <t>m,3</t>
    </r>
  </si>
  <si>
    <r>
      <t>B</t>
    </r>
    <r>
      <rPr>
        <vertAlign val="subscript"/>
        <sz val="11"/>
        <color theme="1"/>
        <rFont val="Calibri"/>
        <family val="2"/>
      </rPr>
      <t>m,4</t>
    </r>
  </si>
  <si>
    <r>
      <rPr>
        <sz val="11"/>
        <color theme="1"/>
        <rFont val="Times New Roman"/>
        <family val="1"/>
      </rPr>
      <t>η</t>
    </r>
    <r>
      <rPr>
        <sz val="11"/>
        <color theme="1"/>
        <rFont val="Calibri"/>
        <family val="2"/>
      </rPr>
      <t xml:space="preserve"> mapped</t>
    </r>
  </si>
  <si>
    <t>Bn,0</t>
  </si>
  <si>
    <t>Bn,1</t>
  </si>
  <si>
    <t>Bn,2</t>
  </si>
  <si>
    <t>Bn,3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</si>
</sst>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0.0000"/>
    <numFmt numFmtId="165" formatCode="0.000"/>
    <numFmt numFmtId="166" formatCode="0.00000"/>
    <numFmt numFmtId="167" formatCode="0.0"/>
  </numFmts>
  <fonts count="24" x14ac:knownFonts="1">
    <font>
      <sz val="11"/>
      <color theme="1"/>
      <name val="Calibri"/>
      <family val="2"/>
    </font>
    <font>
      <u/>
      <sz val="11"/>
      <color indexed="8"/>
      <name val="Calibri"/>
      <family val="2"/>
    </font>
    <font>
      <b/>
      <u/>
      <sz val="11"/>
      <color indexed="8"/>
      <name val="Calibri"/>
      <family val="2"/>
    </font>
    <font>
      <b/>
      <u/>
      <vertAlign val="subscript"/>
      <sz val="11"/>
      <color indexed="8"/>
      <name val="Calibri"/>
      <family val="2"/>
    </font>
    <font>
      <b/>
      <u/>
      <vertAlign val="superscript"/>
      <sz val="11"/>
      <color indexed="8"/>
      <name val="Calibri"/>
      <family val="2"/>
    </font>
    <font>
      <sz val="16"/>
      <color indexed="8"/>
      <name val="Calibri"/>
      <family val="2"/>
    </font>
    <font>
      <vertAlign val="subscript"/>
      <sz val="16"/>
      <color indexed="8"/>
      <name val="Calibri"/>
      <family val="2"/>
    </font>
    <font>
      <vertAlign val="superscript"/>
      <sz val="16"/>
      <color indexed="8"/>
      <name val="Calibri"/>
      <family val="2"/>
    </font>
    <font>
      <vertAlign val="superscript"/>
      <sz val="11"/>
      <color indexed="8"/>
      <name val="Calibri"/>
      <family val="2"/>
    </font>
    <font>
      <vertAlign val="subscript"/>
      <sz val="11"/>
      <color indexed="8"/>
      <name val="Calibri"/>
      <family val="2"/>
    </font>
    <font>
      <b/>
      <sz val="11"/>
      <color theme="1"/>
      <name val="Calibri"/>
      <family val="2"/>
    </font>
    <font>
      <sz val="16"/>
      <color theme="1"/>
      <name val="Calibri"/>
      <family val="2"/>
    </font>
    <font>
      <sz val="11"/>
      <color rgb="FF000000"/>
      <name val="Calibri"/>
      <family val="2"/>
    </font>
    <font>
      <sz val="11"/>
      <color theme="1"/>
      <name val="Times New Roman"/>
      <family val="1"/>
    </font>
    <font>
      <vertAlign val="subscript"/>
      <sz val="11"/>
      <color theme="1"/>
      <name val="Times New Roman"/>
      <family val="1"/>
    </font>
    <font>
      <vertAlign val="superscript"/>
      <sz val="11"/>
      <color theme="1"/>
      <name val="Times New Roman"/>
      <family val="1"/>
    </font>
    <font>
      <vertAlign val="subscript"/>
      <sz val="11"/>
      <color theme="1"/>
      <name val="Calibri"/>
      <family val="2"/>
    </font>
    <font>
      <u/>
      <sz val="11"/>
      <color theme="1"/>
      <name val="Calibri"/>
      <family val="2"/>
    </font>
    <font>
      <sz val="11"/>
      <color theme="1"/>
      <name val="Calibri"/>
      <family val="2"/>
    </font>
    <font>
      <sz val="7.7"/>
      <color theme="1"/>
      <name val="Calibri"/>
      <family val="2"/>
    </font>
    <font>
      <sz val="12"/>
      <color theme="1"/>
      <name val="Calibri"/>
      <family val="2"/>
    </font>
    <font>
      <b/>
      <sz val="11"/>
      <color theme="3" tint="-0.249977111117893"/>
      <name val="Calibri"/>
      <family val="2"/>
    </font>
    <font>
      <b/>
      <sz val="11"/>
      <color theme="1"/>
      <name val="Times New Roman"/>
      <family val="1"/>
    </font>
    <font>
      <sz val="11"/>
      <color rgb="FF000000"/>
      <name val="Times New Roman"/>
      <family val="1"/>
    </font>
  </fonts>
  <fills count="11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 style="thick">
        <color auto="1"/>
      </right>
      <top/>
      <bottom/>
      <diagonal/>
    </border>
  </borders>
  <cellStyleXfs count="1">
    <xf numFmtId="0" fontId="0" fillId="0" borderId="0"/>
  </cellStyleXfs>
  <cellXfs count="158">
    <xf numFmtId="0" fontId="0" fillId="0" borderId="0" xfId="0"/>
    <xf numFmtId="0" fontId="10" fillId="0" borderId="0" xfId="0" applyFont="1"/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11" fillId="0" borderId="0" xfId="0" applyFont="1"/>
    <xf numFmtId="0" fontId="0" fillId="0" borderId="1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3" xfId="0" applyFill="1" applyBorder="1" applyAlignment="1">
      <alignment horizontal="center"/>
    </xf>
    <xf numFmtId="0" fontId="1" fillId="0" borderId="0" xfId="0" applyFont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10" xfId="0" applyBorder="1"/>
    <xf numFmtId="0" fontId="0" fillId="0" borderId="0" xfId="0" applyBorder="1"/>
    <xf numFmtId="0" fontId="0" fillId="0" borderId="11" xfId="0" applyBorder="1"/>
    <xf numFmtId="0" fontId="0" fillId="0" borderId="10" xfId="0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0" fillId="0" borderId="7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6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3" borderId="0" xfId="0" applyFill="1" applyAlignment="1">
      <alignment horizontal="center"/>
    </xf>
    <xf numFmtId="0" fontId="0" fillId="4" borderId="0" xfId="0" applyFill="1"/>
    <xf numFmtId="165" fontId="0" fillId="4" borderId="0" xfId="0" applyNumberFormat="1" applyFill="1"/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166" fontId="0" fillId="0" borderId="14" xfId="0" applyNumberFormat="1" applyBorder="1" applyAlignment="1">
      <alignment horizontal="center"/>
    </xf>
    <xf numFmtId="166" fontId="0" fillId="0" borderId="14" xfId="0" applyNumberFormat="1" applyBorder="1"/>
    <xf numFmtId="166" fontId="0" fillId="0" borderId="6" xfId="0" applyNumberFormat="1" applyBorder="1" applyAlignment="1">
      <alignment horizontal="center"/>
    </xf>
    <xf numFmtId="166" fontId="0" fillId="0" borderId="6" xfId="0" applyNumberFormat="1" applyBorder="1"/>
    <xf numFmtId="0" fontId="13" fillId="0" borderId="15" xfId="0" applyFont="1" applyBorder="1" applyAlignment="1">
      <alignment horizontal="center"/>
    </xf>
    <xf numFmtId="0" fontId="13" fillId="0" borderId="1" xfId="0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17" fillId="0" borderId="0" xfId="0" applyFont="1"/>
    <xf numFmtId="166" fontId="0" fillId="0" borderId="15" xfId="0" applyNumberFormat="1" applyBorder="1"/>
    <xf numFmtId="166" fontId="0" fillId="0" borderId="9" xfId="0" applyNumberFormat="1" applyBorder="1"/>
    <xf numFmtId="0" fontId="0" fillId="0" borderId="0" xfId="0" applyProtection="1">
      <protection locked="0"/>
    </xf>
    <xf numFmtId="0" fontId="13" fillId="0" borderId="0" xfId="0" applyFon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left"/>
    </xf>
    <xf numFmtId="164" fontId="0" fillId="0" borderId="0" xfId="0" applyNumberFormat="1" applyAlignment="1">
      <alignment horizontal="center"/>
    </xf>
    <xf numFmtId="164" fontId="0" fillId="0" borderId="0" xfId="0" applyNumberFormat="1" applyBorder="1" applyAlignment="1">
      <alignment horizontal="center"/>
    </xf>
    <xf numFmtId="164" fontId="0" fillId="4" borderId="10" xfId="0" applyNumberFormat="1" applyFill="1" applyBorder="1" applyAlignment="1">
      <alignment horizontal="center"/>
    </xf>
    <xf numFmtId="164" fontId="0" fillId="4" borderId="0" xfId="0" applyNumberFormat="1" applyFill="1" applyBorder="1" applyAlignment="1">
      <alignment horizontal="center"/>
    </xf>
    <xf numFmtId="164" fontId="0" fillId="9" borderId="0" xfId="0" applyNumberFormat="1" applyFill="1" applyAlignment="1">
      <alignment horizontal="center"/>
    </xf>
    <xf numFmtId="0" fontId="0" fillId="0" borderId="12" xfId="0" applyBorder="1"/>
    <xf numFmtId="164" fontId="0" fillId="0" borderId="7" xfId="0" applyNumberFormat="1" applyBorder="1" applyAlignment="1">
      <alignment horizontal="center"/>
    </xf>
    <xf numFmtId="164" fontId="0" fillId="10" borderId="8" xfId="0" applyNumberFormat="1" applyFill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164" fontId="0" fillId="0" borderId="3" xfId="0" applyNumberFormat="1" applyBorder="1" applyAlignment="1">
      <alignment horizontal="center"/>
    </xf>
    <xf numFmtId="0" fontId="13" fillId="0" borderId="0" xfId="0" applyFont="1" applyAlignment="1">
      <alignment vertical="top" wrapText="1"/>
    </xf>
    <xf numFmtId="0" fontId="18" fillId="0" borderId="0" xfId="0" applyFont="1" applyAlignment="1">
      <alignment vertical="top" wrapText="1"/>
    </xf>
    <xf numFmtId="0" fontId="20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0" fillId="0" borderId="16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10" fillId="0" borderId="20" xfId="0" applyFont="1" applyBorder="1" applyAlignment="1">
      <alignment horizontal="center"/>
    </xf>
    <xf numFmtId="0" fontId="10" fillId="0" borderId="22" xfId="0" applyFont="1" applyBorder="1" applyAlignment="1">
      <alignment horizontal="center"/>
    </xf>
    <xf numFmtId="0" fontId="10" fillId="0" borderId="24" xfId="0" applyFont="1" applyBorder="1" applyAlignment="1">
      <alignment horizontal="center"/>
    </xf>
    <xf numFmtId="2" fontId="21" fillId="0" borderId="19" xfId="0" applyNumberFormat="1" applyFont="1" applyBorder="1" applyAlignment="1">
      <alignment horizontal="center"/>
    </xf>
    <xf numFmtId="2" fontId="21" fillId="0" borderId="28" xfId="0" applyNumberFormat="1" applyFont="1" applyBorder="1" applyAlignment="1">
      <alignment horizontal="center"/>
    </xf>
    <xf numFmtId="2" fontId="21" fillId="0" borderId="20" xfId="0" applyNumberFormat="1" applyFont="1" applyBorder="1" applyAlignment="1">
      <alignment horizontal="center"/>
    </xf>
    <xf numFmtId="2" fontId="21" fillId="0" borderId="21" xfId="0" applyNumberFormat="1" applyFont="1" applyBorder="1" applyAlignment="1">
      <alignment horizontal="center"/>
    </xf>
    <xf numFmtId="2" fontId="21" fillId="0" borderId="0" xfId="0" applyNumberFormat="1" applyFont="1" applyBorder="1" applyAlignment="1">
      <alignment horizontal="center"/>
    </xf>
    <xf numFmtId="2" fontId="21" fillId="0" borderId="22" xfId="0" applyNumberFormat="1" applyFont="1" applyBorder="1" applyAlignment="1">
      <alignment horizontal="center"/>
    </xf>
    <xf numFmtId="2" fontId="21" fillId="0" borderId="23" xfId="0" applyNumberFormat="1" applyFont="1" applyBorder="1" applyAlignment="1">
      <alignment horizontal="center"/>
    </xf>
    <xf numFmtId="2" fontId="21" fillId="0" borderId="29" xfId="0" applyNumberFormat="1" applyFont="1" applyBorder="1" applyAlignment="1">
      <alignment horizontal="center"/>
    </xf>
    <xf numFmtId="2" fontId="21" fillId="0" borderId="24" xfId="0" applyNumberFormat="1" applyFont="1" applyBorder="1" applyAlignment="1">
      <alignment horizontal="center"/>
    </xf>
    <xf numFmtId="0" fontId="10" fillId="0" borderId="0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3" fillId="0" borderId="0" xfId="0" applyFont="1" applyAlignment="1">
      <alignment horizontal="center"/>
    </xf>
    <xf numFmtId="167" fontId="0" fillId="0" borderId="0" xfId="0" applyNumberFormat="1" applyAlignment="1">
      <alignment horizontal="center"/>
    </xf>
    <xf numFmtId="0" fontId="0" fillId="0" borderId="4" xfId="0" applyFill="1" applyBorder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8" xfId="0" applyNumberFormat="1" applyBorder="1"/>
    <xf numFmtId="165" fontId="0" fillId="0" borderId="6" xfId="0" applyNumberFormat="1" applyBorder="1" applyAlignment="1">
      <alignment horizontal="center"/>
    </xf>
    <xf numFmtId="165" fontId="0" fillId="0" borderId="9" xfId="0" applyNumberFormat="1" applyBorder="1"/>
    <xf numFmtId="165" fontId="0" fillId="0" borderId="1" xfId="0" applyNumberFormat="1" applyBorder="1" applyAlignment="1">
      <alignment horizontal="center"/>
    </xf>
    <xf numFmtId="165" fontId="0" fillId="0" borderId="1" xfId="0" applyNumberFormat="1" applyFill="1" applyBorder="1" applyAlignment="1">
      <alignment horizontal="center"/>
    </xf>
    <xf numFmtId="0" fontId="0" fillId="0" borderId="0" xfId="0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0" fillId="0" borderId="11" xfId="0" applyFill="1" applyBorder="1" applyAlignment="1">
      <alignment horizontal="center" vertical="center"/>
    </xf>
    <xf numFmtId="0" fontId="0" fillId="0" borderId="6" xfId="0" applyFill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9" xfId="0" applyFill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2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1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5" borderId="13" xfId="0" applyFill="1" applyBorder="1" applyAlignment="1">
      <alignment horizontal="center"/>
    </xf>
    <xf numFmtId="0" fontId="0" fillId="5" borderId="14" xfId="0" applyFill="1" applyBorder="1" applyAlignment="1">
      <alignment horizontal="center"/>
    </xf>
    <xf numFmtId="0" fontId="0" fillId="5" borderId="15" xfId="0" applyFill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2" borderId="15" xfId="0" applyFill="1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4" borderId="14" xfId="0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14" xfId="0" applyFill="1" applyBorder="1" applyAlignment="1">
      <alignment horizontal="center"/>
    </xf>
    <xf numFmtId="0" fontId="0" fillId="6" borderId="15" xfId="0" applyFill="1" applyBorder="1" applyAlignment="1">
      <alignment horizontal="center"/>
    </xf>
    <xf numFmtId="0" fontId="0" fillId="7" borderId="13" xfId="0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0" fillId="7" borderId="15" xfId="0" applyFill="1" applyBorder="1" applyAlignment="1">
      <alignment horizontal="center"/>
    </xf>
    <xf numFmtId="0" fontId="0" fillId="8" borderId="13" xfId="0" applyFill="1" applyBorder="1" applyAlignment="1">
      <alignment horizontal="center"/>
    </xf>
    <xf numFmtId="0" fontId="0" fillId="8" borderId="14" xfId="0" applyFill="1" applyBorder="1" applyAlignment="1">
      <alignment horizontal="center"/>
    </xf>
    <xf numFmtId="0" fontId="0" fillId="8" borderId="15" xfId="0" applyFill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10" fillId="0" borderId="17" xfId="0" applyFont="1" applyBorder="1" applyAlignment="1">
      <alignment horizontal="center"/>
    </xf>
    <xf numFmtId="0" fontId="10" fillId="0" borderId="18" xfId="0" applyFont="1" applyBorder="1" applyAlignment="1">
      <alignment horizontal="center"/>
    </xf>
    <xf numFmtId="0" fontId="22" fillId="0" borderId="25" xfId="0" applyFont="1" applyBorder="1" applyAlignment="1">
      <alignment horizontal="center" vertical="center"/>
    </xf>
    <xf numFmtId="0" fontId="10" fillId="0" borderId="26" xfId="0" applyFont="1" applyBorder="1" applyAlignment="1">
      <alignment horizontal="center" vertical="center"/>
    </xf>
    <xf numFmtId="0" fontId="10" fillId="0" borderId="27" xfId="0" applyFont="1" applyBorder="1" applyAlignment="1">
      <alignment horizontal="center" vertical="center"/>
    </xf>
    <xf numFmtId="165" fontId="0" fillId="0" borderId="0" xfId="0" applyNumberFormat="1"/>
    <xf numFmtId="165" fontId="0" fillId="0" borderId="7" xfId="0" applyNumberFormat="1" applyBorder="1" applyAlignment="1">
      <alignment horizontal="center"/>
    </xf>
    <xf numFmtId="165" fontId="0" fillId="0" borderId="8" xfId="0" applyNumberFormat="1" applyBorder="1" applyAlignment="1">
      <alignment horizontal="center"/>
    </xf>
    <xf numFmtId="165" fontId="0" fillId="0" borderId="10" xfId="0" applyNumberFormat="1" applyFill="1" applyBorder="1" applyAlignment="1">
      <alignment horizontal="center"/>
    </xf>
    <xf numFmtId="165" fontId="0" fillId="0" borderId="0" xfId="0" applyNumberFormat="1" applyBorder="1"/>
    <xf numFmtId="0" fontId="0" fillId="0" borderId="0" xfId="0" applyFill="1" applyBorder="1" applyAlignment="1">
      <alignment horizontal="center" vertical="center"/>
    </xf>
    <xf numFmtId="165" fontId="0" fillId="0" borderId="0" xfId="0" applyNumberFormat="1" applyBorder="1" applyAlignment="1">
      <alignment horizontal="center"/>
    </xf>
    <xf numFmtId="0" fontId="22" fillId="0" borderId="0" xfId="0" applyFont="1" applyBorder="1" applyAlignment="1">
      <alignment horizontal="center"/>
    </xf>
    <xf numFmtId="0" fontId="22" fillId="0" borderId="0" xfId="0" applyFont="1" applyBorder="1" applyAlignment="1">
      <alignment horizontal="center" vertical="center"/>
    </xf>
    <xf numFmtId="0" fontId="0" fillId="0" borderId="30" xfId="0" applyBorder="1"/>
    <xf numFmtId="0" fontId="0" fillId="0" borderId="30" xfId="0" applyBorder="1" applyAlignment="1">
      <alignment horizontal="center"/>
    </xf>
    <xf numFmtId="165" fontId="0" fillId="0" borderId="1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l-GR" b="1">
                <a:latin typeface="Times New Roman"/>
                <a:cs typeface="Times New Roman"/>
              </a:rPr>
              <a:t>λ</a:t>
            </a:r>
            <a:r>
              <a:rPr lang="en-CA" b="1">
                <a:latin typeface="Times New Roman"/>
                <a:cs typeface="Times New Roman"/>
              </a:rPr>
              <a:t> = 0.8</a:t>
            </a:r>
          </a:p>
          <a:p>
            <a:pPr>
              <a:defRPr/>
            </a:pPr>
            <a:r>
              <a:rPr lang="en-CA" b="1">
                <a:latin typeface="Times New Roman"/>
                <a:cs typeface="Times New Roman"/>
              </a:rPr>
              <a:t>δ = 0.2</a:t>
            </a:r>
            <a:endParaRPr lang="en-CA" b="1"/>
          </a:p>
        </c:rich>
      </c:tx>
      <c:layout>
        <c:manualLayout>
          <c:xMode val="edge"/>
          <c:yMode val="edge"/>
          <c:x val="0.76185722070339834"/>
          <c:y val="6.4814814814814811E-2"/>
        </c:manualLayout>
      </c:layout>
      <c:overlay val="0"/>
    </c:title>
    <c:autoTitleDeleted val="0"/>
    <c:view3D>
      <c:rotX val="15"/>
      <c:rotY val="20"/>
      <c:depthPercent val="10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8188336214070772E-2"/>
          <c:y val="3.8752250209561502E-2"/>
          <c:w val="0.65413750720184372"/>
          <c:h val="0.79979332426378635"/>
        </c:manualLayout>
      </c:layout>
      <c:surface3DChart>
        <c:wireframe val="0"/>
        <c:ser>
          <c:idx val="0"/>
          <c:order val="0"/>
          <c:tx>
            <c:v>0.1</c:v>
          </c:tx>
          <c:cat>
            <c:strRef>
              <c:f>Surface_plots!$B$68:$K$69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Surface_plots!$B$70:$K$70</c:f>
              <c:numCache>
                <c:formatCode>0.000</c:formatCode>
                <c:ptCount val="10"/>
                <c:pt idx="0">
                  <c:v>2.2692217826843262</c:v>
                </c:pt>
                <c:pt idx="1">
                  <c:v>2.0517332553863525</c:v>
                </c:pt>
                <c:pt idx="2">
                  <c:v>1.7743023633956909</c:v>
                </c:pt>
                <c:pt idx="3">
                  <c:v>1.5970814228057861</c:v>
                </c:pt>
                <c:pt idx="4">
                  <c:v>1.4703360795974731</c:v>
                </c:pt>
                <c:pt idx="5">
                  <c:v>1.3735014200210571</c:v>
                </c:pt>
                <c:pt idx="6">
                  <c:v>1.2962210178375244</c:v>
                </c:pt>
                <c:pt idx="7">
                  <c:v>1.2326000928878784</c:v>
                </c:pt>
                <c:pt idx="8">
                  <c:v>1.1789885759353638</c:v>
                </c:pt>
                <c:pt idx="9">
                  <c:v>1.1329821348190308</c:v>
                </c:pt>
              </c:numCache>
            </c:numRef>
          </c:val>
        </c:ser>
        <c:ser>
          <c:idx val="1"/>
          <c:order val="1"/>
          <c:cat>
            <c:strRef>
              <c:f>Surface_plots!$B$68:$K$69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Surface_plots!$B$71:$K$71</c:f>
              <c:numCache>
                <c:formatCode>0.000</c:formatCode>
                <c:ptCount val="10"/>
                <c:pt idx="0">
                  <c:v>1.936552882194519</c:v>
                </c:pt>
                <c:pt idx="1">
                  <c:v>1.7436627149581909</c:v>
                </c:pt>
                <c:pt idx="2">
                  <c:v>1.4985144138336182</c:v>
                </c:pt>
                <c:pt idx="3">
                  <c:v>1.3425663709640503</c:v>
                </c:pt>
                <c:pt idx="4">
                  <c:v>1.2313851118087769</c:v>
                </c:pt>
                <c:pt idx="5">
                  <c:v>1.1466329097747803</c:v>
                </c:pt>
                <c:pt idx="6">
                  <c:v>1.0790927410125732</c:v>
                </c:pt>
                <c:pt idx="7">
                  <c:v>1.0235269069671631</c:v>
                </c:pt>
                <c:pt idx="8">
                  <c:v>0.97669720649719238</c:v>
                </c:pt>
                <c:pt idx="9">
                  <c:v>0.936473548412323</c:v>
                </c:pt>
              </c:numCache>
            </c:numRef>
          </c:val>
        </c:ser>
        <c:ser>
          <c:idx val="2"/>
          <c:order val="2"/>
          <c:tx>
            <c:v>0.18</c:v>
          </c:tx>
          <c:cat>
            <c:strRef>
              <c:f>Surface_plots!$B$68:$K$69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Surface_plots!$B$72:$K$72</c:f>
              <c:numCache>
                <c:formatCode>0.000</c:formatCode>
                <c:ptCount val="10"/>
                <c:pt idx="0">
                  <c:v>1.7115687131881714</c:v>
                </c:pt>
                <c:pt idx="1">
                  <c:v>1.5355085134506226</c:v>
                </c:pt>
                <c:pt idx="2">
                  <c:v>1.3123377561569214</c:v>
                </c:pt>
                <c:pt idx="3">
                  <c:v>1.1707206964492798</c:v>
                </c:pt>
                <c:pt idx="4">
                  <c:v>1.0698729753494263</c:v>
                </c:pt>
                <c:pt idx="5">
                  <c:v>0.99299389123916626</c:v>
                </c:pt>
                <c:pt idx="6">
                  <c:v>0.93165212869644165</c:v>
                </c:pt>
                <c:pt idx="7">
                  <c:v>0.88106322288513184</c:v>
                </c:pt>
                <c:pt idx="8">
                  <c:v>0.83827221393585205</c:v>
                </c:pt>
                <c:pt idx="9">
                  <c:v>0.80133700370788574</c:v>
                </c:pt>
              </c:numCache>
            </c:numRef>
          </c:val>
        </c:ser>
        <c:ser>
          <c:idx val="3"/>
          <c:order val="3"/>
          <c:cat>
            <c:strRef>
              <c:f>Surface_plots!$B$68:$K$69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Surface_plots!$B$73:$K$73</c:f>
              <c:numCache>
                <c:formatCode>0.000</c:formatCode>
                <c:ptCount val="10"/>
                <c:pt idx="0">
                  <c:v>1.5451667308807373</c:v>
                </c:pt>
                <c:pt idx="1">
                  <c:v>1.3816163539886475</c:v>
                </c:pt>
                <c:pt idx="2">
                  <c:v>1.174649715423584</c:v>
                </c:pt>
                <c:pt idx="3">
                  <c:v>1.0434294939041138</c:v>
                </c:pt>
                <c:pt idx="4">
                  <c:v>0.94991093873977661</c:v>
                </c:pt>
                <c:pt idx="5">
                  <c:v>0.87844806909561157</c:v>
                </c:pt>
                <c:pt idx="6">
                  <c:v>0.82119888067245483</c:v>
                </c:pt>
                <c:pt idx="7">
                  <c:v>0.77371746301651001</c:v>
                </c:pt>
                <c:pt idx="8">
                  <c:v>0.73325902223587036</c:v>
                </c:pt>
                <c:pt idx="9">
                  <c:v>0.69801908731460571</c:v>
                </c:pt>
              </c:numCache>
            </c:numRef>
          </c:val>
        </c:ser>
        <c:ser>
          <c:idx val="4"/>
          <c:order val="4"/>
          <c:tx>
            <c:v>0.26</c:v>
          </c:tx>
          <c:cat>
            <c:strRef>
              <c:f>Surface_plots!$B$68:$K$69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Surface_plots!$B$74:$K$74</c:f>
              <c:numCache>
                <c:formatCode>0.000</c:formatCode>
                <c:ptCount val="10"/>
                <c:pt idx="0">
                  <c:v>1.4149976968765259</c:v>
                </c:pt>
                <c:pt idx="1">
                  <c:v>1.2612253427505493</c:v>
                </c:pt>
                <c:pt idx="2">
                  <c:v>1.0667825937271118</c:v>
                </c:pt>
                <c:pt idx="3">
                  <c:v>0.94341671466827393</c:v>
                </c:pt>
                <c:pt idx="4">
                  <c:v>0.85525345802307129</c:v>
                </c:pt>
                <c:pt idx="5">
                  <c:v>0.78755980730056763</c:v>
                </c:pt>
                <c:pt idx="6">
                  <c:v>0.73295801877975464</c:v>
                </c:pt>
                <c:pt idx="7">
                  <c:v>0.68726605176925659</c:v>
                </c:pt>
                <c:pt idx="8">
                  <c:v>0.64790064096450806</c:v>
                </c:pt>
                <c:pt idx="9">
                  <c:v>0.61316049098968506</c:v>
                </c:pt>
              </c:numCache>
            </c:numRef>
          </c:val>
        </c:ser>
        <c:ser>
          <c:idx val="5"/>
          <c:order val="5"/>
          <c:cat>
            <c:strRef>
              <c:f>Surface_plots!$B$68:$K$69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Surface_plots!$B$75:$K$75</c:f>
              <c:numCache>
                <c:formatCode>0.000</c:formatCode>
                <c:ptCount val="10"/>
                <c:pt idx="0">
                  <c:v>1.3091652393341064</c:v>
                </c:pt>
                <c:pt idx="1">
                  <c:v>1.1632943153381348</c:v>
                </c:pt>
                <c:pt idx="2">
                  <c:v>0.97882342338562012</c:v>
                </c:pt>
                <c:pt idx="3">
                  <c:v>0.86152106523513794</c:v>
                </c:pt>
                <c:pt idx="4">
                  <c:v>0.77729451656341553</c:v>
                </c:pt>
                <c:pt idx="5">
                  <c:v>0.71215730905532837</c:v>
                </c:pt>
                <c:pt idx="6">
                  <c:v>0.65910780429840088</c:v>
                </c:pt>
                <c:pt idx="7">
                  <c:v>0.61417436599731445</c:v>
                </c:pt>
                <c:pt idx="8">
                  <c:v>0.57489871978759766</c:v>
                </c:pt>
                <c:pt idx="9">
                  <c:v>0.53965592384338379</c:v>
                </c:pt>
              </c:numCache>
            </c:numRef>
          </c:val>
        </c:ser>
        <c:ser>
          <c:idx val="6"/>
          <c:order val="6"/>
          <c:tx>
            <c:v>0.34</c:v>
          </c:tx>
          <c:cat>
            <c:strRef>
              <c:f>Surface_plots!$B$68:$K$69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Surface_plots!$B$76:$K$76</c:f>
              <c:numCache>
                <c:formatCode>0.000</c:formatCode>
                <c:ptCount val="10"/>
                <c:pt idx="0">
                  <c:v>1.2206497192382812</c:v>
                </c:pt>
                <c:pt idx="1">
                  <c:v>1.0813132524490356</c:v>
                </c:pt>
                <c:pt idx="2">
                  <c:v>0.90493661165237427</c:v>
                </c:pt>
                <c:pt idx="3">
                  <c:v>0.79235541820526123</c:v>
                </c:pt>
                <c:pt idx="4">
                  <c:v>0.71097660064697266</c:v>
                </c:pt>
                <c:pt idx="5">
                  <c:v>0.64743798971176147</c:v>
                </c:pt>
                <c:pt idx="6">
                  <c:v>0.5950472354888916</c:v>
                </c:pt>
                <c:pt idx="7">
                  <c:v>0.55000138282775879</c:v>
                </c:pt>
                <c:pt idx="8">
                  <c:v>0.50993716716766357</c:v>
                </c:pt>
                <c:pt idx="9">
                  <c:v>0.47328218817710876</c:v>
                </c:pt>
              </c:numCache>
            </c:numRef>
          </c:val>
        </c:ser>
        <c:ser>
          <c:idx val="7"/>
          <c:order val="7"/>
          <c:cat>
            <c:strRef>
              <c:f>Surface_plots!$B$68:$K$69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Surface_plots!$B$77:$K$77</c:f>
              <c:numCache>
                <c:formatCode>0.000</c:formatCode>
                <c:ptCount val="10"/>
                <c:pt idx="0">
                  <c:v>1.1449943780899048</c:v>
                </c:pt>
                <c:pt idx="1">
                  <c:v>1.0111526250839233</c:v>
                </c:pt>
                <c:pt idx="2">
                  <c:v>0.84142476320266724</c:v>
                </c:pt>
                <c:pt idx="3">
                  <c:v>0.73250925540924072</c:v>
                </c:pt>
                <c:pt idx="4">
                  <c:v>0.653098464012146</c:v>
                </c:pt>
                <c:pt idx="5">
                  <c:v>0.59035927057266235</c:v>
                </c:pt>
                <c:pt idx="6">
                  <c:v>0.53785562515258789</c:v>
                </c:pt>
                <c:pt idx="7">
                  <c:v>0.49191734194755554</c:v>
                </c:pt>
                <c:pt idx="8">
                  <c:v>0.45024925470352173</c:v>
                </c:pt>
                <c:pt idx="9">
                  <c:v>0.41130879521369934</c:v>
                </c:pt>
              </c:numCache>
            </c:numRef>
          </c:val>
        </c:ser>
        <c:ser>
          <c:idx val="8"/>
          <c:order val="8"/>
          <c:tx>
            <c:v>0.42</c:v>
          </c:tx>
          <c:cat>
            <c:strRef>
              <c:f>Surface_plots!$B$68:$K$69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Surface_plots!$B$78:$K$78</c:f>
              <c:numCache>
                <c:formatCode>0.000</c:formatCode>
                <c:ptCount val="10"/>
                <c:pt idx="0">
                  <c:v>1.0792088508605957</c:v>
                </c:pt>
                <c:pt idx="1">
                  <c:v>0.9500434398651123</c:v>
                </c:pt>
                <c:pt idx="2">
                  <c:v>0.78581184148788452</c:v>
                </c:pt>
                <c:pt idx="3">
                  <c:v>0.67969983816146851</c:v>
                </c:pt>
                <c:pt idx="4">
                  <c:v>0.60151636600494385</c:v>
                </c:pt>
                <c:pt idx="5">
                  <c:v>0.53888022899627686</c:v>
                </c:pt>
                <c:pt idx="6">
                  <c:v>0.48556619882583618</c:v>
                </c:pt>
                <c:pt idx="7">
                  <c:v>0.43800497055053711</c:v>
                </c:pt>
                <c:pt idx="8">
                  <c:v>0.39394336938858032</c:v>
                </c:pt>
                <c:pt idx="9">
                  <c:v>0.3518451452255249</c:v>
                </c:pt>
              </c:numCache>
            </c:numRef>
          </c:val>
        </c:ser>
        <c:ser>
          <c:idx val="9"/>
          <c:order val="9"/>
          <c:cat>
            <c:strRef>
              <c:f>Surface_plots!$B$68:$K$69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Surface_plots!$B$79:$K$79</c:f>
              <c:numCache>
                <c:formatCode>0.000</c:formatCode>
                <c:ptCount val="10"/>
                <c:pt idx="0">
                  <c:v>1.021199107170105</c:v>
                </c:pt>
                <c:pt idx="1">
                  <c:v>0.89604806900024414</c:v>
                </c:pt>
                <c:pt idx="2">
                  <c:v>0.73636674880981445</c:v>
                </c:pt>
                <c:pt idx="3">
                  <c:v>0.63233143091201782</c:v>
                </c:pt>
                <c:pt idx="4">
                  <c:v>0.5547301173210144</c:v>
                </c:pt>
                <c:pt idx="5">
                  <c:v>0.4915679395198822</c:v>
                </c:pt>
                <c:pt idx="6">
                  <c:v>0.43679043650627136</c:v>
                </c:pt>
                <c:pt idx="7">
                  <c:v>0.38689848780632019</c:v>
                </c:pt>
                <c:pt idx="8">
                  <c:v>0.33965420722961426</c:v>
                </c:pt>
                <c:pt idx="9">
                  <c:v>0.29350239038467407</c:v>
                </c:pt>
              </c:numCache>
            </c:numRef>
          </c:val>
        </c:ser>
        <c:ser>
          <c:idx val="10"/>
          <c:order val="10"/>
          <c:tx>
            <c:v>0.5</c:v>
          </c:tx>
          <c:cat>
            <c:strRef>
              <c:f>Surface_plots!$B$68:$K$69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Surface_plots!$B$80:$K$80</c:f>
              <c:numCache>
                <c:formatCode>0.000</c:formatCode>
                <c:ptCount val="10"/>
                <c:pt idx="0">
                  <c:v>0.96944701671600342</c:v>
                </c:pt>
                <c:pt idx="1">
                  <c:v>0.8477628231048584</c:v>
                </c:pt>
                <c:pt idx="2">
                  <c:v>0.69183641672134399</c:v>
                </c:pt>
                <c:pt idx="3">
                  <c:v>0.58924859762191772</c:v>
                </c:pt>
                <c:pt idx="4">
                  <c:v>0.51165074110031128</c:v>
                </c:pt>
                <c:pt idx="5">
                  <c:v>0.44737780094146729</c:v>
                </c:pt>
                <c:pt idx="6">
                  <c:v>0.39050781726837158</c:v>
                </c:pt>
                <c:pt idx="7">
                  <c:v>0.33758145570755005</c:v>
                </c:pt>
                <c:pt idx="8">
                  <c:v>0.28634795546531677</c:v>
                </c:pt>
                <c:pt idx="9">
                  <c:v>0.23520447313785553</c:v>
                </c:pt>
              </c:numCache>
            </c:numRef>
          </c:val>
        </c:ser>
        <c:bandFmts>
          <c:bandFmt>
            <c:idx val="0"/>
          </c:bandFmt>
          <c:bandFmt>
            <c:idx val="1"/>
          </c:bandFmt>
          <c:bandFmt>
            <c:idx val="2"/>
          </c:bandFmt>
          <c:bandFmt>
            <c:idx val="3"/>
          </c:bandFmt>
          <c:bandFmt>
            <c:idx val="4"/>
          </c:bandFmt>
          <c:bandFmt>
            <c:idx val="5"/>
          </c:bandFmt>
          <c:bandFmt>
            <c:idx val="6"/>
          </c:bandFmt>
          <c:bandFmt>
            <c:idx val="7"/>
          </c:bandFmt>
        </c:bandFmts>
        <c:axId val="78199808"/>
        <c:axId val="64138624"/>
        <c:axId val="76489984"/>
      </c:surface3DChart>
      <c:catAx>
        <c:axId val="78199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 (ξ)</a:t>
                </a:r>
                <a:endParaRPr lang="en-CA"/>
              </a:p>
            </c:rich>
          </c:tx>
          <c:layout>
            <c:manualLayout>
              <c:xMode val="edge"/>
              <c:yMode val="edge"/>
              <c:x val="0.29474313684006215"/>
              <c:y val="0.8592373869932925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4138624"/>
        <c:crosses val="autoZero"/>
        <c:auto val="1"/>
        <c:lblAlgn val="ctr"/>
        <c:lblOffset val="100"/>
        <c:noMultiLvlLbl val="0"/>
      </c:catAx>
      <c:valAx>
        <c:axId val="64138624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/>
                  <a:t>Tensile Strain capacity in (%)</a:t>
                </a:r>
              </a:p>
            </c:rich>
          </c:tx>
          <c:layout>
            <c:manualLayout>
              <c:xMode val="edge"/>
              <c:yMode val="edge"/>
              <c:x val="3.2322386530951923E-2"/>
              <c:y val="3.4157013095876106E-2"/>
            </c:manualLayout>
          </c:layout>
          <c:overlay val="0"/>
        </c:title>
        <c:numFmt formatCode="0.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8199808"/>
        <c:crosses val="autoZero"/>
        <c:crossBetween val="midCat"/>
      </c:valAx>
      <c:serAx>
        <c:axId val="76489984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 (η)</a:t>
                </a:r>
                <a:endParaRPr lang="en-CA"/>
              </a:p>
            </c:rich>
          </c:tx>
          <c:layout>
            <c:manualLayout>
              <c:xMode val="edge"/>
              <c:yMode val="edge"/>
              <c:x val="0.69657448306766534"/>
              <c:y val="0.6464731829987220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4138624"/>
        <c:crosses val="autoZero"/>
        <c:tickMarkSkip val="1"/>
      </c:serAx>
      <c:spPr>
        <a:noFill/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legendEntry>
      <c:legendEntry>
        <c:idx val="2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legendEntry>
      <c:legendEntry>
        <c:idx val="3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legendEntry>
      <c:legendEntry>
        <c:idx val="4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legendEntry>
      <c:layout/>
      <c:overlay val="0"/>
      <c:txPr>
        <a:bodyPr/>
        <a:lstStyle/>
        <a:p>
          <a:pPr rtl="0"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20"/>
      <c:rotY val="200"/>
      <c:depthPercent val="230"/>
      <c:rAngAx val="0"/>
      <c:perspective val="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tx>
            <c:v>0.7</c:v>
          </c:tx>
          <c:cat>
            <c:numRef>
              <c:f>Surface_plots!$A$104:$A$114</c:f>
              <c:numCache>
                <c:formatCode>General</c:formatCode>
                <c:ptCount val="11"/>
                <c:pt idx="0">
                  <c:v>0.1</c:v>
                </c:pt>
                <c:pt idx="1">
                  <c:v>0.12</c:v>
                </c:pt>
                <c:pt idx="2">
                  <c:v>0.14000000000000001</c:v>
                </c:pt>
                <c:pt idx="3">
                  <c:v>0.16</c:v>
                </c:pt>
                <c:pt idx="4">
                  <c:v>0.18</c:v>
                </c:pt>
                <c:pt idx="5">
                  <c:v>0.2</c:v>
                </c:pt>
                <c:pt idx="6">
                  <c:v>0.22</c:v>
                </c:pt>
                <c:pt idx="7">
                  <c:v>0.24</c:v>
                </c:pt>
                <c:pt idx="8">
                  <c:v>0.26</c:v>
                </c:pt>
                <c:pt idx="9">
                  <c:v>0.28000000000000003</c:v>
                </c:pt>
                <c:pt idx="10">
                  <c:v>0.3</c:v>
                </c:pt>
              </c:numCache>
            </c:numRef>
          </c:cat>
          <c:val>
            <c:numRef>
              <c:f>Surface_plots!$B$104:$B$114</c:f>
              <c:numCache>
                <c:formatCode>General</c:formatCode>
                <c:ptCount val="11"/>
                <c:pt idx="0">
                  <c:v>0.50341755151748657</c:v>
                </c:pt>
                <c:pt idx="1">
                  <c:v>0.61549663543701172</c:v>
                </c:pt>
                <c:pt idx="2">
                  <c:v>0.72951549291610718</c:v>
                </c:pt>
                <c:pt idx="3">
                  <c:v>0.84522169828414917</c:v>
                </c:pt>
                <c:pt idx="4">
                  <c:v>0.96242368221282959</c:v>
                </c:pt>
                <c:pt idx="5">
                  <c:v>1.0809707641601563</c:v>
                </c:pt>
                <c:pt idx="6">
                  <c:v>1.2007410526275635</c:v>
                </c:pt>
                <c:pt idx="7">
                  <c:v>1.3216341733932495</c:v>
                </c:pt>
                <c:pt idx="8">
                  <c:v>1.4435654878616333</c:v>
                </c:pt>
                <c:pt idx="9">
                  <c:v>1.5664628744125366</c:v>
                </c:pt>
                <c:pt idx="10">
                  <c:v>1.6902639865875244</c:v>
                </c:pt>
              </c:numCache>
            </c:numRef>
          </c:val>
        </c:ser>
        <c:ser>
          <c:idx val="1"/>
          <c:order val="1"/>
          <c:tx>
            <c:v>0.73</c:v>
          </c:tx>
          <c:cat>
            <c:numRef>
              <c:f>Surface_plots!$A$104:$A$114</c:f>
              <c:numCache>
                <c:formatCode>General</c:formatCode>
                <c:ptCount val="11"/>
                <c:pt idx="0">
                  <c:v>0.1</c:v>
                </c:pt>
                <c:pt idx="1">
                  <c:v>0.12</c:v>
                </c:pt>
                <c:pt idx="2">
                  <c:v>0.14000000000000001</c:v>
                </c:pt>
                <c:pt idx="3">
                  <c:v>0.16</c:v>
                </c:pt>
                <c:pt idx="4">
                  <c:v>0.18</c:v>
                </c:pt>
                <c:pt idx="5">
                  <c:v>0.2</c:v>
                </c:pt>
                <c:pt idx="6">
                  <c:v>0.22</c:v>
                </c:pt>
                <c:pt idx="7">
                  <c:v>0.24</c:v>
                </c:pt>
                <c:pt idx="8">
                  <c:v>0.26</c:v>
                </c:pt>
                <c:pt idx="9">
                  <c:v>0.28000000000000003</c:v>
                </c:pt>
                <c:pt idx="10">
                  <c:v>0.3</c:v>
                </c:pt>
              </c:numCache>
            </c:numRef>
          </c:cat>
          <c:val>
            <c:numRef>
              <c:f>Surface_plots!$C$104:$C$114</c:f>
              <c:numCache>
                <c:formatCode>General</c:formatCode>
                <c:ptCount val="11"/>
                <c:pt idx="0">
                  <c:v>0.46703007817268372</c:v>
                </c:pt>
                <c:pt idx="1">
                  <c:v>0.56609457731246948</c:v>
                </c:pt>
                <c:pt idx="2">
                  <c:v>0.6660771369934082</c:v>
                </c:pt>
                <c:pt idx="3">
                  <c:v>0.76685249805450439</c:v>
                </c:pt>
                <c:pt idx="4">
                  <c:v>0.86832612752914429</c:v>
                </c:pt>
                <c:pt idx="5">
                  <c:v>0.9704241156578064</c:v>
                </c:pt>
                <c:pt idx="6">
                  <c:v>1.073087215423584</c:v>
                </c:pt>
                <c:pt idx="7">
                  <c:v>1.1762664318084717</c:v>
                </c:pt>
                <c:pt idx="8">
                  <c:v>1.2799211740493774</c:v>
                </c:pt>
                <c:pt idx="9">
                  <c:v>1.3840165138244629</c:v>
                </c:pt>
                <c:pt idx="10">
                  <c:v>1.4885227680206299</c:v>
                </c:pt>
              </c:numCache>
            </c:numRef>
          </c:val>
        </c:ser>
        <c:ser>
          <c:idx val="2"/>
          <c:order val="2"/>
          <c:tx>
            <c:v>0.76</c:v>
          </c:tx>
          <c:cat>
            <c:numRef>
              <c:f>Surface_plots!$A$104:$A$114</c:f>
              <c:numCache>
                <c:formatCode>General</c:formatCode>
                <c:ptCount val="11"/>
                <c:pt idx="0">
                  <c:v>0.1</c:v>
                </c:pt>
                <c:pt idx="1">
                  <c:v>0.12</c:v>
                </c:pt>
                <c:pt idx="2">
                  <c:v>0.14000000000000001</c:v>
                </c:pt>
                <c:pt idx="3">
                  <c:v>0.16</c:v>
                </c:pt>
                <c:pt idx="4">
                  <c:v>0.18</c:v>
                </c:pt>
                <c:pt idx="5">
                  <c:v>0.2</c:v>
                </c:pt>
                <c:pt idx="6">
                  <c:v>0.22</c:v>
                </c:pt>
                <c:pt idx="7">
                  <c:v>0.24</c:v>
                </c:pt>
                <c:pt idx="8">
                  <c:v>0.26</c:v>
                </c:pt>
                <c:pt idx="9">
                  <c:v>0.28000000000000003</c:v>
                </c:pt>
                <c:pt idx="10">
                  <c:v>0.3</c:v>
                </c:pt>
              </c:numCache>
            </c:numRef>
          </c:cat>
          <c:val>
            <c:numRef>
              <c:f>Surface_plots!$D$104:$D$114</c:f>
              <c:numCache>
                <c:formatCode>General</c:formatCode>
                <c:ptCount val="11"/>
                <c:pt idx="0">
                  <c:v>0.43671143054962158</c:v>
                </c:pt>
                <c:pt idx="1">
                  <c:v>0.52478992938995361</c:v>
                </c:pt>
                <c:pt idx="2">
                  <c:v>0.61298209428787231</c:v>
                </c:pt>
                <c:pt idx="3">
                  <c:v>0.70127159357070923</c:v>
                </c:pt>
                <c:pt idx="4">
                  <c:v>0.78964638710021973</c:v>
                </c:pt>
                <c:pt idx="5">
                  <c:v>0.87809699773788452</c:v>
                </c:pt>
                <c:pt idx="6">
                  <c:v>0.96661579608917236</c:v>
                </c:pt>
                <c:pt idx="7">
                  <c:v>1.0551966428756714</c:v>
                </c:pt>
                <c:pt idx="8">
                  <c:v>1.1438344717025757</c:v>
                </c:pt>
                <c:pt idx="9">
                  <c:v>1.2325248718261719</c:v>
                </c:pt>
                <c:pt idx="10">
                  <c:v>1.3212641477584839</c:v>
                </c:pt>
              </c:numCache>
            </c:numRef>
          </c:val>
        </c:ser>
        <c:ser>
          <c:idx val="3"/>
          <c:order val="3"/>
          <c:tx>
            <c:v>0.79</c:v>
          </c:tx>
          <c:cat>
            <c:numRef>
              <c:f>Surface_plots!$A$104:$A$114</c:f>
              <c:numCache>
                <c:formatCode>General</c:formatCode>
                <c:ptCount val="11"/>
                <c:pt idx="0">
                  <c:v>0.1</c:v>
                </c:pt>
                <c:pt idx="1">
                  <c:v>0.12</c:v>
                </c:pt>
                <c:pt idx="2">
                  <c:v>0.14000000000000001</c:v>
                </c:pt>
                <c:pt idx="3">
                  <c:v>0.16</c:v>
                </c:pt>
                <c:pt idx="4">
                  <c:v>0.18</c:v>
                </c:pt>
                <c:pt idx="5">
                  <c:v>0.2</c:v>
                </c:pt>
                <c:pt idx="6">
                  <c:v>0.22</c:v>
                </c:pt>
                <c:pt idx="7">
                  <c:v>0.24</c:v>
                </c:pt>
                <c:pt idx="8">
                  <c:v>0.26</c:v>
                </c:pt>
                <c:pt idx="9">
                  <c:v>0.28000000000000003</c:v>
                </c:pt>
                <c:pt idx="10">
                  <c:v>0.3</c:v>
                </c:pt>
              </c:numCache>
            </c:numRef>
          </c:cat>
          <c:val>
            <c:numRef>
              <c:f>Surface_plots!$E$104:$E$114</c:f>
              <c:numCache>
                <c:formatCode>General</c:formatCode>
                <c:ptCount val="11"/>
                <c:pt idx="0">
                  <c:v>0.41137748956680298</c:v>
                </c:pt>
                <c:pt idx="1">
                  <c:v>0.49009275436401367</c:v>
                </c:pt>
                <c:pt idx="2">
                  <c:v>0.56828641891479492</c:v>
                </c:pt>
                <c:pt idx="3">
                  <c:v>0.64603632688522339</c:v>
                </c:pt>
                <c:pt idx="4">
                  <c:v>0.72340035438537598</c:v>
                </c:pt>
                <c:pt idx="5">
                  <c:v>0.80042314529418945</c:v>
                </c:pt>
                <c:pt idx="6">
                  <c:v>0.87714022397994995</c:v>
                </c:pt>
                <c:pt idx="7">
                  <c:v>0.95358055830001831</c:v>
                </c:pt>
                <c:pt idx="8">
                  <c:v>1.0297681093215942</c:v>
                </c:pt>
                <c:pt idx="9">
                  <c:v>1.1057231426239014</c:v>
                </c:pt>
                <c:pt idx="10">
                  <c:v>1.1814628839492798</c:v>
                </c:pt>
              </c:numCache>
            </c:numRef>
          </c:val>
        </c:ser>
        <c:ser>
          <c:idx val="4"/>
          <c:order val="4"/>
          <c:tx>
            <c:v>0.82</c:v>
          </c:tx>
          <c:cat>
            <c:numRef>
              <c:f>Surface_plots!$A$104:$A$114</c:f>
              <c:numCache>
                <c:formatCode>General</c:formatCode>
                <c:ptCount val="11"/>
                <c:pt idx="0">
                  <c:v>0.1</c:v>
                </c:pt>
                <c:pt idx="1">
                  <c:v>0.12</c:v>
                </c:pt>
                <c:pt idx="2">
                  <c:v>0.14000000000000001</c:v>
                </c:pt>
                <c:pt idx="3">
                  <c:v>0.16</c:v>
                </c:pt>
                <c:pt idx="4">
                  <c:v>0.18</c:v>
                </c:pt>
                <c:pt idx="5">
                  <c:v>0.2</c:v>
                </c:pt>
                <c:pt idx="6">
                  <c:v>0.22</c:v>
                </c:pt>
                <c:pt idx="7">
                  <c:v>0.24</c:v>
                </c:pt>
                <c:pt idx="8">
                  <c:v>0.26</c:v>
                </c:pt>
                <c:pt idx="9">
                  <c:v>0.28000000000000003</c:v>
                </c:pt>
                <c:pt idx="10">
                  <c:v>0.3</c:v>
                </c:pt>
              </c:numCache>
            </c:numRef>
          </c:cat>
          <c:val>
            <c:numRef>
              <c:f>Surface_plots!$F$104:$F$114</c:f>
              <c:numCache>
                <c:formatCode>General</c:formatCode>
                <c:ptCount val="11"/>
                <c:pt idx="0">
                  <c:v>0.39018866419792175</c:v>
                </c:pt>
                <c:pt idx="1">
                  <c:v>0.4608495831489563</c:v>
                </c:pt>
                <c:pt idx="2">
                  <c:v>0.53048723936080933</c:v>
                </c:pt>
                <c:pt idx="3">
                  <c:v>0.59926068782806396</c:v>
                </c:pt>
                <c:pt idx="4">
                  <c:v>0.66728734970092773</c:v>
                </c:pt>
                <c:pt idx="5">
                  <c:v>0.73465752601623535</c:v>
                </c:pt>
                <c:pt idx="6">
                  <c:v>0.80144238471984863</c:v>
                </c:pt>
                <c:pt idx="7">
                  <c:v>0.86769974231719971</c:v>
                </c:pt>
                <c:pt idx="8">
                  <c:v>0.93347740173339844</c:v>
                </c:pt>
                <c:pt idx="9">
                  <c:v>0.99881535768508911</c:v>
                </c:pt>
                <c:pt idx="10">
                  <c:v>1.0637476444244385</c:v>
                </c:pt>
              </c:numCache>
            </c:numRef>
          </c:val>
        </c:ser>
        <c:ser>
          <c:idx val="5"/>
          <c:order val="5"/>
          <c:tx>
            <c:v>0.85</c:v>
          </c:tx>
          <c:cat>
            <c:numRef>
              <c:f>Surface_plots!$A$104:$A$114</c:f>
              <c:numCache>
                <c:formatCode>General</c:formatCode>
                <c:ptCount val="11"/>
                <c:pt idx="0">
                  <c:v>0.1</c:v>
                </c:pt>
                <c:pt idx="1">
                  <c:v>0.12</c:v>
                </c:pt>
                <c:pt idx="2">
                  <c:v>0.14000000000000001</c:v>
                </c:pt>
                <c:pt idx="3">
                  <c:v>0.16</c:v>
                </c:pt>
                <c:pt idx="4">
                  <c:v>0.18</c:v>
                </c:pt>
                <c:pt idx="5">
                  <c:v>0.2</c:v>
                </c:pt>
                <c:pt idx="6">
                  <c:v>0.22</c:v>
                </c:pt>
                <c:pt idx="7">
                  <c:v>0.24</c:v>
                </c:pt>
                <c:pt idx="8">
                  <c:v>0.26</c:v>
                </c:pt>
                <c:pt idx="9">
                  <c:v>0.28000000000000003</c:v>
                </c:pt>
                <c:pt idx="10">
                  <c:v>0.3</c:v>
                </c:pt>
              </c:numCache>
            </c:numRef>
          </c:cat>
          <c:val>
            <c:numRef>
              <c:f>Surface_plots!$G$104:$G$114</c:f>
              <c:numCache>
                <c:formatCode>General</c:formatCode>
                <c:ptCount val="11"/>
                <c:pt idx="0">
                  <c:v>0.37248909473419189</c:v>
                </c:pt>
                <c:pt idx="1">
                  <c:v>0.43615907430648804</c:v>
                </c:pt>
                <c:pt idx="2">
                  <c:v>0.49841070175170898</c:v>
                </c:pt>
                <c:pt idx="3">
                  <c:v>0.55947333574295044</c:v>
                </c:pt>
                <c:pt idx="4">
                  <c:v>0.61951512098312378</c:v>
                </c:pt>
                <c:pt idx="5">
                  <c:v>0.67866432666778564</c:v>
                </c:pt>
                <c:pt idx="6">
                  <c:v>0.73702186346054077</c:v>
                </c:pt>
                <c:pt idx="7">
                  <c:v>0.79466921091079712</c:v>
                </c:pt>
                <c:pt idx="8">
                  <c:v>0.8516731858253479</c:v>
                </c:pt>
                <c:pt idx="9">
                  <c:v>0.90808987617492676</c:v>
                </c:pt>
                <c:pt idx="10">
                  <c:v>0.96396660804748535</c:v>
                </c:pt>
              </c:numCache>
            </c:numRef>
          </c:val>
        </c:ser>
        <c:ser>
          <c:idx val="6"/>
          <c:order val="6"/>
          <c:tx>
            <c:v>0.88</c:v>
          </c:tx>
          <c:cat>
            <c:numRef>
              <c:f>Surface_plots!$A$104:$A$114</c:f>
              <c:numCache>
                <c:formatCode>General</c:formatCode>
                <c:ptCount val="11"/>
                <c:pt idx="0">
                  <c:v>0.1</c:v>
                </c:pt>
                <c:pt idx="1">
                  <c:v>0.12</c:v>
                </c:pt>
                <c:pt idx="2">
                  <c:v>0.14000000000000001</c:v>
                </c:pt>
                <c:pt idx="3">
                  <c:v>0.16</c:v>
                </c:pt>
                <c:pt idx="4">
                  <c:v>0.18</c:v>
                </c:pt>
                <c:pt idx="5">
                  <c:v>0.2</c:v>
                </c:pt>
                <c:pt idx="6">
                  <c:v>0.22</c:v>
                </c:pt>
                <c:pt idx="7">
                  <c:v>0.24</c:v>
                </c:pt>
                <c:pt idx="8">
                  <c:v>0.26</c:v>
                </c:pt>
                <c:pt idx="9">
                  <c:v>0.28000000000000003</c:v>
                </c:pt>
                <c:pt idx="10">
                  <c:v>0.3</c:v>
                </c:pt>
              </c:numCache>
            </c:numRef>
          </c:cat>
          <c:val>
            <c:numRef>
              <c:f>Surface_plots!$H$104:$H$114</c:f>
              <c:numCache>
                <c:formatCode>General</c:formatCode>
                <c:ptCount val="11"/>
                <c:pt idx="0">
                  <c:v>0.35776281356811523</c:v>
                </c:pt>
                <c:pt idx="1">
                  <c:v>0.41531094908714294</c:v>
                </c:pt>
                <c:pt idx="2">
                  <c:v>0.47113195061683655</c:v>
                </c:pt>
                <c:pt idx="3">
                  <c:v>0.52551579475402832</c:v>
                </c:pt>
                <c:pt idx="4">
                  <c:v>0.57867354154586792</c:v>
                </c:pt>
                <c:pt idx="5">
                  <c:v>0.63076537847518921</c:v>
                </c:pt>
                <c:pt idx="6">
                  <c:v>0.68191647529602051</c:v>
                </c:pt>
                <c:pt idx="7">
                  <c:v>0.73222744464874268</c:v>
                </c:pt>
                <c:pt idx="8">
                  <c:v>0.78178060054779053</c:v>
                </c:pt>
                <c:pt idx="9">
                  <c:v>0.83064448833465576</c:v>
                </c:pt>
                <c:pt idx="10">
                  <c:v>0.87887698411941528</c:v>
                </c:pt>
              </c:numCache>
            </c:numRef>
          </c:val>
        </c:ser>
        <c:ser>
          <c:idx val="7"/>
          <c:order val="7"/>
          <c:tx>
            <c:v>0.91</c:v>
          </c:tx>
          <c:cat>
            <c:numRef>
              <c:f>Surface_plots!$A$104:$A$114</c:f>
              <c:numCache>
                <c:formatCode>General</c:formatCode>
                <c:ptCount val="11"/>
                <c:pt idx="0">
                  <c:v>0.1</c:v>
                </c:pt>
                <c:pt idx="1">
                  <c:v>0.12</c:v>
                </c:pt>
                <c:pt idx="2">
                  <c:v>0.14000000000000001</c:v>
                </c:pt>
                <c:pt idx="3">
                  <c:v>0.16</c:v>
                </c:pt>
                <c:pt idx="4">
                  <c:v>0.18</c:v>
                </c:pt>
                <c:pt idx="5">
                  <c:v>0.2</c:v>
                </c:pt>
                <c:pt idx="6">
                  <c:v>0.22</c:v>
                </c:pt>
                <c:pt idx="7">
                  <c:v>0.24</c:v>
                </c:pt>
                <c:pt idx="8">
                  <c:v>0.26</c:v>
                </c:pt>
                <c:pt idx="9">
                  <c:v>0.28000000000000003</c:v>
                </c:pt>
                <c:pt idx="10">
                  <c:v>0.3</c:v>
                </c:pt>
              </c:numCache>
            </c:numRef>
          </c:cat>
          <c:val>
            <c:numRef>
              <c:f>Surface_plots!$I$104:$I$114</c:f>
              <c:numCache>
                <c:formatCode>General</c:formatCode>
                <c:ptCount val="11"/>
                <c:pt idx="0">
                  <c:v>0.34560176730155945</c:v>
                </c:pt>
                <c:pt idx="1">
                  <c:v>0.39774152636528015</c:v>
                </c:pt>
                <c:pt idx="2">
                  <c:v>0.44791623950004578</c:v>
                </c:pt>
                <c:pt idx="3">
                  <c:v>0.4964679479598999</c:v>
                </c:pt>
                <c:pt idx="4">
                  <c:v>0.54364383220672607</c:v>
                </c:pt>
                <c:pt idx="5">
                  <c:v>0.58963024616241455</c:v>
                </c:pt>
                <c:pt idx="6">
                  <c:v>0.63457226753234863</c:v>
                </c:pt>
                <c:pt idx="7">
                  <c:v>0.67858576774597168</c:v>
                </c:pt>
                <c:pt idx="8">
                  <c:v>0.72176516056060791</c:v>
                </c:pt>
                <c:pt idx="9">
                  <c:v>0.76418876647949219</c:v>
                </c:pt>
                <c:pt idx="10">
                  <c:v>0.80592250823974609</c:v>
                </c:pt>
              </c:numCache>
            </c:numRef>
          </c:val>
        </c:ser>
        <c:ser>
          <c:idx val="8"/>
          <c:order val="8"/>
          <c:tx>
            <c:v>0.95</c:v>
          </c:tx>
          <c:cat>
            <c:numRef>
              <c:f>Surface_plots!$A$104:$A$114</c:f>
              <c:numCache>
                <c:formatCode>General</c:formatCode>
                <c:ptCount val="11"/>
                <c:pt idx="0">
                  <c:v>0.1</c:v>
                </c:pt>
                <c:pt idx="1">
                  <c:v>0.12</c:v>
                </c:pt>
                <c:pt idx="2">
                  <c:v>0.14000000000000001</c:v>
                </c:pt>
                <c:pt idx="3">
                  <c:v>0.16</c:v>
                </c:pt>
                <c:pt idx="4">
                  <c:v>0.18</c:v>
                </c:pt>
                <c:pt idx="5">
                  <c:v>0.2</c:v>
                </c:pt>
                <c:pt idx="6">
                  <c:v>0.22</c:v>
                </c:pt>
                <c:pt idx="7">
                  <c:v>0.24</c:v>
                </c:pt>
                <c:pt idx="8">
                  <c:v>0.26</c:v>
                </c:pt>
                <c:pt idx="9">
                  <c:v>0.28000000000000003</c:v>
                </c:pt>
                <c:pt idx="10">
                  <c:v>0.3</c:v>
                </c:pt>
              </c:numCache>
            </c:numRef>
          </c:cat>
          <c:val>
            <c:numRef>
              <c:f>Surface_plots!$J$104:$J$114</c:f>
              <c:numCache>
                <c:formatCode>General</c:formatCode>
                <c:ptCount val="11"/>
                <c:pt idx="0">
                  <c:v>0.33282741904258728</c:v>
                </c:pt>
                <c:pt idx="1">
                  <c:v>0.37865161895751953</c:v>
                </c:pt>
                <c:pt idx="2">
                  <c:v>0.42228403687477112</c:v>
                </c:pt>
                <c:pt idx="3">
                  <c:v>0.46412393450737</c:v>
                </c:pt>
                <c:pt idx="4">
                  <c:v>0.50445723533630371</c:v>
                </c:pt>
                <c:pt idx="5">
                  <c:v>0.54349780082702637</c:v>
                </c:pt>
                <c:pt idx="6">
                  <c:v>0.58141082525253296</c:v>
                </c:pt>
                <c:pt idx="7">
                  <c:v>0.61832743883132935</c:v>
                </c:pt>
                <c:pt idx="8">
                  <c:v>0.65435391664505005</c:v>
                </c:pt>
                <c:pt idx="9">
                  <c:v>0.68957799673080444</c:v>
                </c:pt>
                <c:pt idx="10">
                  <c:v>0.72407299280166626</c:v>
                </c:pt>
              </c:numCache>
            </c:numRef>
          </c:val>
        </c:ser>
        <c:bandFmts>
          <c:bandFmt>
            <c:idx val="0"/>
          </c:bandFmt>
          <c:bandFmt>
            <c:idx val="1"/>
          </c:bandFmt>
          <c:bandFmt>
            <c:idx val="2"/>
          </c:bandFmt>
          <c:bandFmt>
            <c:idx val="3"/>
          </c:bandFmt>
        </c:bandFmts>
        <c:axId val="78225920"/>
        <c:axId val="64140352"/>
        <c:axId val="76490624"/>
      </c:surface3DChart>
      <c:catAx>
        <c:axId val="782259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CTOD toughness ( δ ) [mm]</a:t>
                </a:r>
                <a:endParaRPr lang="en-CA"/>
              </a:p>
            </c:rich>
          </c:tx>
          <c:layout>
            <c:manualLayout>
              <c:xMode val="edge"/>
              <c:yMode val="edge"/>
              <c:x val="0.21833652815869928"/>
              <c:y val="0.8933667906896253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4140352"/>
        <c:crosses val="autoZero"/>
        <c:auto val="1"/>
        <c:lblAlgn val="ctr"/>
        <c:lblOffset val="100"/>
        <c:noMultiLvlLbl val="0"/>
      </c:catAx>
      <c:valAx>
        <c:axId val="64140352"/>
        <c:scaling>
          <c:orientation val="minMax"/>
        </c:scaling>
        <c:delete val="0"/>
        <c:axPos val="r"/>
        <c:majorGridlines/>
        <c:title>
          <c:tx>
            <c:rich>
              <a:bodyPr rot="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/>
                  <a:t>Tensile Strain in (%)</a:t>
                </a:r>
              </a:p>
            </c:rich>
          </c:tx>
          <c:layout>
            <c:manualLayout>
              <c:xMode val="edge"/>
              <c:yMode val="edge"/>
              <c:x val="0.6835552672020867"/>
              <c:y val="0.2429243459952121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8225920"/>
        <c:crosses val="autoZero"/>
        <c:crossBetween val="midCat"/>
      </c:valAx>
      <c:serAx>
        <c:axId val="764906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/>
                  <a:t>Y/ T</a:t>
                </a:r>
              </a:p>
            </c:rich>
          </c:tx>
          <c:layout>
            <c:manualLayout>
              <c:xMode val="edge"/>
              <c:yMode val="edge"/>
              <c:x val="0.60952051405559327"/>
              <c:y val="0.595692076951919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64140352"/>
        <c:crosses val="autoZero"/>
        <c:tickLblSkip val="2"/>
        <c:tickMarkSkip val="1"/>
      </c:serAx>
      <c:spPr>
        <a:noFill/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legendEntry>
      <c:overlay val="0"/>
      <c:txPr>
        <a:bodyPr/>
        <a:lstStyle/>
        <a:p>
          <a:pPr rtl="0"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0"/>
      <c:depthPercent val="10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surface3DChart>
        <c:wireframe val="0"/>
        <c:ser>
          <c:idx val="0"/>
          <c:order val="0"/>
          <c:tx>
            <c:v>0.5</c:v>
          </c:tx>
          <c:cat>
            <c:strRef>
              <c:f>Surface_plots!$B$136:$K$137</c:f>
              <c:strCache>
                <c:ptCount val="10"/>
                <c:pt idx="0">
                  <c:v>3</c:v>
                </c:pt>
                <c:pt idx="1">
                  <c:v>3.5</c:v>
                </c:pt>
                <c:pt idx="2">
                  <c:v>4</c:v>
                </c:pt>
                <c:pt idx="3">
                  <c:v>4.5</c:v>
                </c:pt>
                <c:pt idx="4">
                  <c:v>5</c:v>
                </c:pt>
                <c:pt idx="5">
                  <c:v>5.5</c:v>
                </c:pt>
                <c:pt idx="6">
                  <c:v>6</c:v>
                </c:pt>
                <c:pt idx="7">
                  <c:v>6.5</c:v>
                </c:pt>
                <c:pt idx="8">
                  <c:v>7</c:v>
                </c:pt>
                <c:pt idx="9">
                  <c:v>7.5</c:v>
                </c:pt>
              </c:strCache>
            </c:strRef>
          </c:cat>
          <c:val>
            <c:numRef>
              <c:f>Surface_plots!$B$138:$K$138</c:f>
              <c:numCache>
                <c:formatCode>General</c:formatCode>
                <c:ptCount val="10"/>
                <c:pt idx="0">
                  <c:v>1.9491094350814819</c:v>
                </c:pt>
                <c:pt idx="1">
                  <c:v>1.6290181875228882</c:v>
                </c:pt>
                <c:pt idx="2">
                  <c:v>1.3943085670471191</c:v>
                </c:pt>
                <c:pt idx="3">
                  <c:v>1.2125440835952759</c:v>
                </c:pt>
                <c:pt idx="4">
                  <c:v>1.0644632577896118</c:v>
                </c:pt>
                <c:pt idx="5">
                  <c:v>0.93805205821990967</c:v>
                </c:pt>
                <c:pt idx="6">
                  <c:v>0.8254697322845459</c:v>
                </c:pt>
                <c:pt idx="7">
                  <c:v>0.72137796878814697</c:v>
                </c:pt>
                <c:pt idx="8">
                  <c:v>0.62199258804321289</c:v>
                </c:pt>
                <c:pt idx="9">
                  <c:v>0.52452307939529419</c:v>
                </c:pt>
              </c:numCache>
            </c:numRef>
          </c:val>
        </c:ser>
        <c:ser>
          <c:idx val="1"/>
          <c:order val="1"/>
          <c:tx>
            <c:v>0.45</c:v>
          </c:tx>
          <c:cat>
            <c:strRef>
              <c:f>Surface_plots!$B$136:$K$137</c:f>
              <c:strCache>
                <c:ptCount val="10"/>
                <c:pt idx="0">
                  <c:v>3</c:v>
                </c:pt>
                <c:pt idx="1">
                  <c:v>3.5</c:v>
                </c:pt>
                <c:pt idx="2">
                  <c:v>4</c:v>
                </c:pt>
                <c:pt idx="3">
                  <c:v>4.5</c:v>
                </c:pt>
                <c:pt idx="4">
                  <c:v>5</c:v>
                </c:pt>
                <c:pt idx="5">
                  <c:v>5.5</c:v>
                </c:pt>
                <c:pt idx="6">
                  <c:v>6</c:v>
                </c:pt>
                <c:pt idx="7">
                  <c:v>6.5</c:v>
                </c:pt>
                <c:pt idx="8">
                  <c:v>7</c:v>
                </c:pt>
                <c:pt idx="9">
                  <c:v>7.5</c:v>
                </c:pt>
              </c:strCache>
            </c:strRef>
          </c:cat>
          <c:val>
            <c:numRef>
              <c:f>Surface_plots!$B$139:$K$139</c:f>
              <c:numCache>
                <c:formatCode>General</c:formatCode>
                <c:ptCount val="10"/>
                <c:pt idx="0">
                  <c:v>1.6347148418426514</c:v>
                </c:pt>
                <c:pt idx="1">
                  <c:v>1.3716189861297607</c:v>
                </c:pt>
                <c:pt idx="2">
                  <c:v>1.179063081741333</c:v>
                </c:pt>
                <c:pt idx="3">
                  <c:v>1.0302714109420776</c:v>
                </c:pt>
                <c:pt idx="4">
                  <c:v>0.90934491157531738</c:v>
                </c:pt>
                <c:pt idx="5">
                  <c:v>0.80636775493621826</c:v>
                </c:pt>
                <c:pt idx="6">
                  <c:v>0.71486973762512207</c:v>
                </c:pt>
                <c:pt idx="7">
                  <c:v>0.63044661283493042</c:v>
                </c:pt>
                <c:pt idx="8">
                  <c:v>0.54997718334197998</c:v>
                </c:pt>
                <c:pt idx="9">
                  <c:v>0.47116085886955261</c:v>
                </c:pt>
              </c:numCache>
            </c:numRef>
          </c:val>
        </c:ser>
        <c:ser>
          <c:idx val="2"/>
          <c:order val="2"/>
          <c:tx>
            <c:v>0.4</c:v>
          </c:tx>
          <c:cat>
            <c:strRef>
              <c:f>Surface_plots!$B$136:$K$137</c:f>
              <c:strCache>
                <c:ptCount val="10"/>
                <c:pt idx="0">
                  <c:v>3</c:v>
                </c:pt>
                <c:pt idx="1">
                  <c:v>3.5</c:v>
                </c:pt>
                <c:pt idx="2">
                  <c:v>4</c:v>
                </c:pt>
                <c:pt idx="3">
                  <c:v>4.5</c:v>
                </c:pt>
                <c:pt idx="4">
                  <c:v>5</c:v>
                </c:pt>
                <c:pt idx="5">
                  <c:v>5.5</c:v>
                </c:pt>
                <c:pt idx="6">
                  <c:v>6</c:v>
                </c:pt>
                <c:pt idx="7">
                  <c:v>6.5</c:v>
                </c:pt>
                <c:pt idx="8">
                  <c:v>7</c:v>
                </c:pt>
                <c:pt idx="9">
                  <c:v>7.5</c:v>
                </c:pt>
              </c:strCache>
            </c:strRef>
          </c:cat>
          <c:val>
            <c:numRef>
              <c:f>Surface_plots!$B$140:$K$140</c:f>
              <c:numCache>
                <c:formatCode>General</c:formatCode>
                <c:ptCount val="10"/>
                <c:pt idx="0">
                  <c:v>1.409308910369873</c:v>
                </c:pt>
                <c:pt idx="1">
                  <c:v>1.1869724988937378</c:v>
                </c:pt>
                <c:pt idx="2">
                  <c:v>1.0245559215545654</c:v>
                </c:pt>
                <c:pt idx="3">
                  <c:v>0.89933347702026367</c:v>
                </c:pt>
                <c:pt idx="4">
                  <c:v>0.79781210422515869</c:v>
                </c:pt>
                <c:pt idx="5">
                  <c:v>0.71157729625701904</c:v>
                </c:pt>
                <c:pt idx="6">
                  <c:v>0.63513922691345215</c:v>
                </c:pt>
                <c:pt idx="7">
                  <c:v>0.56476187705993652</c:v>
                </c:pt>
                <c:pt idx="8">
                  <c:v>0.49779853224754333</c:v>
                </c:pt>
                <c:pt idx="9">
                  <c:v>0.43229904770851135</c:v>
                </c:pt>
              </c:numCache>
            </c:numRef>
          </c:val>
        </c:ser>
        <c:ser>
          <c:idx val="3"/>
          <c:order val="3"/>
          <c:tx>
            <c:v>0.35</c:v>
          </c:tx>
          <c:cat>
            <c:strRef>
              <c:f>Surface_plots!$B$136:$K$137</c:f>
              <c:strCache>
                <c:ptCount val="10"/>
                <c:pt idx="0">
                  <c:v>3</c:v>
                </c:pt>
                <c:pt idx="1">
                  <c:v>3.5</c:v>
                </c:pt>
                <c:pt idx="2">
                  <c:v>4</c:v>
                </c:pt>
                <c:pt idx="3">
                  <c:v>4.5</c:v>
                </c:pt>
                <c:pt idx="4">
                  <c:v>5</c:v>
                </c:pt>
                <c:pt idx="5">
                  <c:v>5.5</c:v>
                </c:pt>
                <c:pt idx="6">
                  <c:v>6</c:v>
                </c:pt>
                <c:pt idx="7">
                  <c:v>6.5</c:v>
                </c:pt>
                <c:pt idx="8">
                  <c:v>7</c:v>
                </c:pt>
                <c:pt idx="9">
                  <c:v>7.5</c:v>
                </c:pt>
              </c:strCache>
            </c:strRef>
          </c:cat>
          <c:val>
            <c:numRef>
              <c:f>Surface_plots!$B$141:$K$141</c:f>
              <c:numCache>
                <c:formatCode>General</c:formatCode>
                <c:ptCount val="10"/>
                <c:pt idx="0">
                  <c:v>1.279224157333374</c:v>
                </c:pt>
                <c:pt idx="1">
                  <c:v>1.0813547372817993</c:v>
                </c:pt>
                <c:pt idx="2">
                  <c:v>0.93708807229995728</c:v>
                </c:pt>
                <c:pt idx="3">
                  <c:v>0.8261110782623291</c:v>
                </c:pt>
                <c:pt idx="4">
                  <c:v>0.73636412620544434</c:v>
                </c:pt>
                <c:pt idx="5">
                  <c:v>0.66032731533050537</c:v>
                </c:pt>
                <c:pt idx="6">
                  <c:v>0.59309536218643188</c:v>
                </c:pt>
                <c:pt idx="7">
                  <c:v>0.53133088350296021</c:v>
                </c:pt>
                <c:pt idx="8">
                  <c:v>0.47266992926597595</c:v>
                </c:pt>
                <c:pt idx="9">
                  <c:v>0.41537180542945862</c:v>
                </c:pt>
              </c:numCache>
            </c:numRef>
          </c:val>
        </c:ser>
        <c:ser>
          <c:idx val="4"/>
          <c:order val="4"/>
          <c:tx>
            <c:v>0.3</c:v>
          </c:tx>
          <c:cat>
            <c:strRef>
              <c:f>Surface_plots!$B$136:$K$137</c:f>
              <c:strCache>
                <c:ptCount val="10"/>
                <c:pt idx="0">
                  <c:v>3</c:v>
                </c:pt>
                <c:pt idx="1">
                  <c:v>3.5</c:v>
                </c:pt>
                <c:pt idx="2">
                  <c:v>4</c:v>
                </c:pt>
                <c:pt idx="3">
                  <c:v>4.5</c:v>
                </c:pt>
                <c:pt idx="4">
                  <c:v>5</c:v>
                </c:pt>
                <c:pt idx="5">
                  <c:v>5.5</c:v>
                </c:pt>
                <c:pt idx="6">
                  <c:v>6</c:v>
                </c:pt>
                <c:pt idx="7">
                  <c:v>6.5</c:v>
                </c:pt>
                <c:pt idx="8">
                  <c:v>7</c:v>
                </c:pt>
                <c:pt idx="9">
                  <c:v>7.5</c:v>
                </c:pt>
              </c:strCache>
            </c:strRef>
          </c:cat>
          <c:val>
            <c:numRef>
              <c:f>Surface_plots!$B$142:$K$142</c:f>
              <c:numCache>
                <c:formatCode>General</c:formatCode>
                <c:ptCount val="10"/>
                <c:pt idx="0">
                  <c:v>1.2513511180877686</c:v>
                </c:pt>
                <c:pt idx="1">
                  <c:v>1.0615361928939819</c:v>
                </c:pt>
                <c:pt idx="2">
                  <c:v>0.92340981960296631</c:v>
                </c:pt>
                <c:pt idx="3">
                  <c:v>0.81740063428878784</c:v>
                </c:pt>
                <c:pt idx="4">
                  <c:v>0.73189002275466919</c:v>
                </c:pt>
                <c:pt idx="5">
                  <c:v>0.65963393449783325</c:v>
                </c:pt>
                <c:pt idx="6">
                  <c:v>0.59590768814086914</c:v>
                </c:pt>
                <c:pt idx="7">
                  <c:v>0.53749758005142212</c:v>
                </c:pt>
                <c:pt idx="8">
                  <c:v>0.48212796449661255</c:v>
                </c:pt>
                <c:pt idx="9">
                  <c:v>0.42812371253967285</c:v>
                </c:pt>
              </c:numCache>
            </c:numRef>
          </c:val>
        </c:ser>
        <c:ser>
          <c:idx val="5"/>
          <c:order val="5"/>
          <c:tx>
            <c:v>0.25</c:v>
          </c:tx>
          <c:cat>
            <c:strRef>
              <c:f>Surface_plots!$B$136:$K$137</c:f>
              <c:strCache>
                <c:ptCount val="10"/>
                <c:pt idx="0">
                  <c:v>3</c:v>
                </c:pt>
                <c:pt idx="1">
                  <c:v>3.5</c:v>
                </c:pt>
                <c:pt idx="2">
                  <c:v>4</c:v>
                </c:pt>
                <c:pt idx="3">
                  <c:v>4.5</c:v>
                </c:pt>
                <c:pt idx="4">
                  <c:v>5</c:v>
                </c:pt>
                <c:pt idx="5">
                  <c:v>5.5</c:v>
                </c:pt>
                <c:pt idx="6">
                  <c:v>6</c:v>
                </c:pt>
                <c:pt idx="7">
                  <c:v>6.5</c:v>
                </c:pt>
                <c:pt idx="8">
                  <c:v>7</c:v>
                </c:pt>
                <c:pt idx="9">
                  <c:v>7.5</c:v>
                </c:pt>
              </c:strCache>
            </c:strRef>
          </c:cat>
          <c:val>
            <c:numRef>
              <c:f>Surface_plots!$B$143:$K$143</c:f>
              <c:numCache>
                <c:formatCode>General</c:formatCode>
                <c:ptCount val="10"/>
                <c:pt idx="0">
                  <c:v>1.3332470655441284</c:v>
                </c:pt>
                <c:pt idx="1">
                  <c:v>1.1348800659179687</c:v>
                </c:pt>
                <c:pt idx="2">
                  <c:v>0.99081271886825562</c:v>
                </c:pt>
                <c:pt idx="3">
                  <c:v>0.88050216436386108</c:v>
                </c:pt>
                <c:pt idx="4">
                  <c:v>0.79175370931625366</c:v>
                </c:pt>
                <c:pt idx="5">
                  <c:v>0.7169649600982666</c:v>
                </c:pt>
                <c:pt idx="6">
                  <c:v>0.65117835998535156</c:v>
                </c:pt>
                <c:pt idx="7">
                  <c:v>0.59102249145507813</c:v>
                </c:pt>
                <c:pt idx="8">
                  <c:v>0.53411078453063965</c:v>
                </c:pt>
                <c:pt idx="9">
                  <c:v>0.47868719696998596</c:v>
                </c:pt>
              </c:numCache>
            </c:numRef>
          </c:val>
        </c:ser>
        <c:ser>
          <c:idx val="6"/>
          <c:order val="6"/>
          <c:tx>
            <c:v>0.2</c:v>
          </c:tx>
          <c:cat>
            <c:strRef>
              <c:f>Surface_plots!$B$136:$K$137</c:f>
              <c:strCache>
                <c:ptCount val="10"/>
                <c:pt idx="0">
                  <c:v>3</c:v>
                </c:pt>
                <c:pt idx="1">
                  <c:v>3.5</c:v>
                </c:pt>
                <c:pt idx="2">
                  <c:v>4</c:v>
                </c:pt>
                <c:pt idx="3">
                  <c:v>4.5</c:v>
                </c:pt>
                <c:pt idx="4">
                  <c:v>5</c:v>
                </c:pt>
                <c:pt idx="5">
                  <c:v>5.5</c:v>
                </c:pt>
                <c:pt idx="6">
                  <c:v>6</c:v>
                </c:pt>
                <c:pt idx="7">
                  <c:v>6.5</c:v>
                </c:pt>
                <c:pt idx="8">
                  <c:v>7</c:v>
                </c:pt>
                <c:pt idx="9">
                  <c:v>7.5</c:v>
                </c:pt>
              </c:strCache>
            </c:strRef>
          </c:cat>
          <c:val>
            <c:numRef>
              <c:f>Surface_plots!$B$144:$K$144</c:f>
              <c:numCache>
                <c:formatCode>General</c:formatCode>
                <c:ptCount val="10"/>
                <c:pt idx="0">
                  <c:v>1.5332696437835693</c:v>
                </c:pt>
                <c:pt idx="1">
                  <c:v>1.3094643354415894</c:v>
                </c:pt>
                <c:pt idx="2">
                  <c:v>1.1472433805465698</c:v>
                </c:pt>
                <c:pt idx="3">
                  <c:v>1.0233272314071655</c:v>
                </c:pt>
                <c:pt idx="4">
                  <c:v>0.92389750480651855</c:v>
                </c:pt>
                <c:pt idx="5">
                  <c:v>0.84034073352813721</c:v>
                </c:pt>
                <c:pt idx="6">
                  <c:v>0.76704078912734985</c:v>
                </c:pt>
                <c:pt idx="7">
                  <c:v>0.70017904043197632</c:v>
                </c:pt>
                <c:pt idx="8">
                  <c:v>0.63705348968505859</c:v>
                </c:pt>
                <c:pt idx="9">
                  <c:v>0.57567650079727173</c:v>
                </c:pt>
              </c:numCache>
            </c:numRef>
          </c:val>
        </c:ser>
        <c:ser>
          <c:idx val="7"/>
          <c:order val="7"/>
          <c:tx>
            <c:v>0.15</c:v>
          </c:tx>
          <c:cat>
            <c:strRef>
              <c:f>Surface_plots!$B$136:$K$137</c:f>
              <c:strCache>
                <c:ptCount val="10"/>
                <c:pt idx="0">
                  <c:v>3</c:v>
                </c:pt>
                <c:pt idx="1">
                  <c:v>3.5</c:v>
                </c:pt>
                <c:pt idx="2">
                  <c:v>4</c:v>
                </c:pt>
                <c:pt idx="3">
                  <c:v>4.5</c:v>
                </c:pt>
                <c:pt idx="4">
                  <c:v>5</c:v>
                </c:pt>
                <c:pt idx="5">
                  <c:v>5.5</c:v>
                </c:pt>
                <c:pt idx="6">
                  <c:v>6</c:v>
                </c:pt>
                <c:pt idx="7">
                  <c:v>6.5</c:v>
                </c:pt>
                <c:pt idx="8">
                  <c:v>7</c:v>
                </c:pt>
                <c:pt idx="9">
                  <c:v>7.5</c:v>
                </c:pt>
              </c:strCache>
            </c:strRef>
          </c:cat>
          <c:val>
            <c:numRef>
              <c:f>Surface_plots!$B$145:$K$145</c:f>
              <c:numCache>
                <c:formatCode>General</c:formatCode>
                <c:ptCount val="10"/>
                <c:pt idx="0">
                  <c:v>1.860742449760437</c:v>
                </c:pt>
                <c:pt idx="1">
                  <c:v>1.5942318439483643</c:v>
                </c:pt>
                <c:pt idx="2">
                  <c:v>1.4014431238174438</c:v>
                </c:pt>
                <c:pt idx="3">
                  <c:v>1.2545315027236938</c:v>
                </c:pt>
                <c:pt idx="4">
                  <c:v>1.1369702816009521</c:v>
                </c:pt>
                <c:pt idx="5">
                  <c:v>1.0384585857391357</c:v>
                </c:pt>
                <c:pt idx="6">
                  <c:v>0.95228099822998047</c:v>
                </c:pt>
                <c:pt idx="7">
                  <c:v>0.87387293577194214</c:v>
                </c:pt>
                <c:pt idx="8">
                  <c:v>0.80000513792037964</c:v>
                </c:pt>
                <c:pt idx="9">
                  <c:v>0.72830337285995483</c:v>
                </c:pt>
              </c:numCache>
            </c:numRef>
          </c:val>
        </c:ser>
        <c:ser>
          <c:idx val="8"/>
          <c:order val="8"/>
          <c:tx>
            <c:v>0.1</c:v>
          </c:tx>
          <c:cat>
            <c:strRef>
              <c:f>Surface_plots!$B$136:$K$137</c:f>
              <c:strCache>
                <c:ptCount val="10"/>
                <c:pt idx="0">
                  <c:v>3</c:v>
                </c:pt>
                <c:pt idx="1">
                  <c:v>3.5</c:v>
                </c:pt>
                <c:pt idx="2">
                  <c:v>4</c:v>
                </c:pt>
                <c:pt idx="3">
                  <c:v>4.5</c:v>
                </c:pt>
                <c:pt idx="4">
                  <c:v>5</c:v>
                </c:pt>
                <c:pt idx="5">
                  <c:v>5.5</c:v>
                </c:pt>
                <c:pt idx="6">
                  <c:v>6</c:v>
                </c:pt>
                <c:pt idx="7">
                  <c:v>6.5</c:v>
                </c:pt>
                <c:pt idx="8">
                  <c:v>7</c:v>
                </c:pt>
                <c:pt idx="9">
                  <c:v>7.5</c:v>
                </c:pt>
              </c:strCache>
            </c:strRef>
          </c:cat>
          <c:val>
            <c:numRef>
              <c:f>Surface_plots!$B$146:$K$146</c:f>
              <c:numCache>
                <c:formatCode>General</c:formatCode>
                <c:ptCount val="10"/>
                <c:pt idx="0">
                  <c:v>2.3261611461639404</c:v>
                </c:pt>
                <c:pt idx="1">
                  <c:v>1.9991787672042847</c:v>
                </c:pt>
                <c:pt idx="2">
                  <c:v>1.7631239891052246</c:v>
                </c:pt>
                <c:pt idx="3">
                  <c:v>1.5836820602416992</c:v>
                </c:pt>
                <c:pt idx="4">
                  <c:v>1.4404871463775635</c:v>
                </c:pt>
                <c:pt idx="5">
                  <c:v>1.3208469152450562</c:v>
                </c:pt>
                <c:pt idx="6">
                  <c:v>1.2164887189865112</c:v>
                </c:pt>
                <c:pt idx="7">
                  <c:v>1.1217899322509766</c:v>
                </c:pt>
                <c:pt idx="8">
                  <c:v>1.0327745676040649</c:v>
                </c:pt>
                <c:pt idx="9">
                  <c:v>0.94652050733566284</c:v>
                </c:pt>
              </c:numCache>
            </c:numRef>
          </c:val>
        </c:ser>
        <c:ser>
          <c:idx val="9"/>
          <c:order val="9"/>
          <c:tx>
            <c:v>0.05</c:v>
          </c:tx>
          <c:cat>
            <c:strRef>
              <c:f>Surface_plots!$B$136:$K$137</c:f>
              <c:strCache>
                <c:ptCount val="10"/>
                <c:pt idx="0">
                  <c:v>3</c:v>
                </c:pt>
                <c:pt idx="1">
                  <c:v>3.5</c:v>
                </c:pt>
                <c:pt idx="2">
                  <c:v>4</c:v>
                </c:pt>
                <c:pt idx="3">
                  <c:v>4.5</c:v>
                </c:pt>
                <c:pt idx="4">
                  <c:v>5</c:v>
                </c:pt>
                <c:pt idx="5">
                  <c:v>5.5</c:v>
                </c:pt>
                <c:pt idx="6">
                  <c:v>6</c:v>
                </c:pt>
                <c:pt idx="7">
                  <c:v>6.5</c:v>
                </c:pt>
                <c:pt idx="8">
                  <c:v>7</c:v>
                </c:pt>
                <c:pt idx="9">
                  <c:v>7.5</c:v>
                </c:pt>
              </c:strCache>
            </c:strRef>
          </c:cat>
          <c:val>
            <c:numRef>
              <c:f>Surface_plots!$B$147:$K$147</c:f>
              <c:numCache>
                <c:formatCode>General</c:formatCode>
                <c:ptCount val="10"/>
                <c:pt idx="0">
                  <c:v>2.9414575099945068</c:v>
                </c:pt>
                <c:pt idx="1">
                  <c:v>2.5355930328369141</c:v>
                </c:pt>
                <c:pt idx="2">
                  <c:v>2.2431905269622803</c:v>
                </c:pt>
                <c:pt idx="3">
                  <c:v>2.0214667320251465</c:v>
                </c:pt>
                <c:pt idx="4">
                  <c:v>1.8450312614440918</c:v>
                </c:pt>
                <c:pt idx="5">
                  <c:v>1.6980620622634888</c:v>
                </c:pt>
                <c:pt idx="6">
                  <c:v>1.5702481269836426</c:v>
                </c:pt>
                <c:pt idx="7">
                  <c:v>1.4545831680297852</c:v>
                </c:pt>
                <c:pt idx="8">
                  <c:v>1.3461141586303711</c:v>
                </c:pt>
                <c:pt idx="9">
                  <c:v>1.2412024736404419</c:v>
                </c:pt>
              </c:numCache>
            </c:numRef>
          </c:val>
        </c:ser>
        <c:bandFmts>
          <c:bandFmt>
            <c:idx val="0"/>
          </c:bandFmt>
          <c:bandFmt>
            <c:idx val="1"/>
          </c:bandFmt>
          <c:bandFmt>
            <c:idx val="2"/>
          </c:bandFmt>
          <c:bandFmt>
            <c:idx val="3"/>
          </c:bandFmt>
          <c:bandFmt>
            <c:idx val="4"/>
          </c:bandFmt>
          <c:bandFmt>
            <c:idx val="5"/>
          </c:bandFmt>
        </c:bandFmts>
        <c:axId val="78227456"/>
        <c:axId val="89833472"/>
        <c:axId val="76491264"/>
      </c:surface3DChart>
      <c:catAx>
        <c:axId val="782274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Defect length / wall thickness  (ξ)</a:t>
                </a:r>
                <a:endParaRPr lang="en-CA"/>
              </a:p>
            </c:rich>
          </c:tx>
          <c:layout>
            <c:manualLayout>
              <c:xMode val="edge"/>
              <c:yMode val="edge"/>
              <c:x val="0.22554526837991404"/>
              <c:y val="0.8563873746550911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9833472"/>
        <c:crosses val="autoZero"/>
        <c:auto val="1"/>
        <c:lblAlgn val="ctr"/>
        <c:lblOffset val="100"/>
        <c:noMultiLvlLbl val="0"/>
      </c:catAx>
      <c:valAx>
        <c:axId val="8983347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Tensile Strain</a:t>
                </a:r>
              </a:p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 Capacity</a:t>
                </a:r>
              </a:p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 in (%)</a:t>
                </a:r>
                <a:endParaRPr lang="en-CA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8227456"/>
        <c:crosses val="autoZero"/>
        <c:crossBetween val="midCat"/>
      </c:valAx>
      <c:serAx>
        <c:axId val="764912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defect height / wall thickness (η)</a:t>
                </a:r>
                <a:endParaRPr lang="en-CA"/>
              </a:p>
            </c:rich>
          </c:tx>
          <c:layout>
            <c:manualLayout>
              <c:xMode val="edge"/>
              <c:yMode val="edge"/>
              <c:x val="0.72119869631680655"/>
              <c:y val="0.66780375529981839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9833472"/>
        <c:crosses val="autoZero"/>
        <c:tickLblSkip val="4"/>
        <c:tickMarkSkip val="1"/>
      </c:serAx>
      <c:spPr>
        <a:noFill/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legendEntry>
      <c:overlay val="0"/>
      <c:txPr>
        <a:bodyPr/>
        <a:lstStyle/>
        <a:p>
          <a:pPr rtl="0"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view3D>
      <c:rotX val="15"/>
      <c:rotY val="230"/>
      <c:depthPercent val="10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0.14844685039370079"/>
          <c:y val="4.6770924467774859E-2"/>
          <c:w val="0.64779680664916883"/>
          <c:h val="0.8326195683872849"/>
        </c:manualLayout>
      </c:layout>
      <c:surface3DChart>
        <c:wireframe val="0"/>
        <c:ser>
          <c:idx val="0"/>
          <c:order val="0"/>
          <c:tx>
            <c:v>1</c:v>
          </c:tx>
          <c:val>
            <c:numRef>
              <c:f>Surface_plots!$B$171:$B$183</c:f>
              <c:numCache>
                <c:formatCode>General</c:formatCode>
                <c:ptCount val="13"/>
                <c:pt idx="0">
                  <c:v>2.5153229236602783</c:v>
                </c:pt>
                <c:pt idx="1">
                  <c:v>2.6488981246948242</c:v>
                </c:pt>
                <c:pt idx="2">
                  <c:v>2.7880082130432129</c:v>
                </c:pt>
                <c:pt idx="3">
                  <c:v>2.9328114986419678</c:v>
                </c:pt>
                <c:pt idx="4">
                  <c:v>3.0834739208221436</c:v>
                </c:pt>
                <c:pt idx="5">
                  <c:v>3.2401723861694336</c:v>
                </c:pt>
                <c:pt idx="6">
                  <c:v>3.4030914306640625</c:v>
                </c:pt>
                <c:pt idx="7">
                  <c:v>3.5724287033081055</c:v>
                </c:pt>
                <c:pt idx="8">
                  <c:v>3.7483921051025391</c:v>
                </c:pt>
                <c:pt idx="9">
                  <c:v>3.9312038421630859</c:v>
                </c:pt>
                <c:pt idx="10">
                  <c:v>4.1210980415344238</c:v>
                </c:pt>
                <c:pt idx="11">
                  <c:v>4.3183255195617676</c:v>
                </c:pt>
                <c:pt idx="12">
                  <c:v>4.5231528282165527</c:v>
                </c:pt>
              </c:numCache>
            </c:numRef>
          </c:val>
        </c:ser>
        <c:ser>
          <c:idx val="1"/>
          <c:order val="1"/>
          <c:tx>
            <c:v>1.3</c:v>
          </c:tx>
          <c:val>
            <c:numRef>
              <c:f>Surface_plots!$C$171:$C$183</c:f>
              <c:numCache>
                <c:formatCode>General</c:formatCode>
                <c:ptCount val="13"/>
                <c:pt idx="0">
                  <c:v>2.3643090724945068</c:v>
                </c:pt>
                <c:pt idx="1">
                  <c:v>2.4906661510467529</c:v>
                </c:pt>
                <c:pt idx="2">
                  <c:v>2.6223042011260986</c:v>
                </c:pt>
                <c:pt idx="3">
                  <c:v>2.7593755722045898</c:v>
                </c:pt>
                <c:pt idx="4">
                  <c:v>2.9020419120788574</c:v>
                </c:pt>
                <c:pt idx="5">
                  <c:v>3.0504722595214844</c:v>
                </c:pt>
                <c:pt idx="6">
                  <c:v>3.2048468589782715</c:v>
                </c:pt>
                <c:pt idx="7">
                  <c:v>3.3653547763824463</c:v>
                </c:pt>
                <c:pt idx="8">
                  <c:v>3.5321979522705078</c:v>
                </c:pt>
                <c:pt idx="9">
                  <c:v>3.7055888175964355</c:v>
                </c:pt>
                <c:pt idx="10">
                  <c:v>3.8857545852661133</c:v>
                </c:pt>
                <c:pt idx="11">
                  <c:v>4.0729360580444336</c:v>
                </c:pt>
                <c:pt idx="12">
                  <c:v>4.2673907279968262</c:v>
                </c:pt>
              </c:numCache>
            </c:numRef>
          </c:val>
        </c:ser>
        <c:ser>
          <c:idx val="2"/>
          <c:order val="2"/>
          <c:tx>
            <c:v>1.6</c:v>
          </c:tx>
          <c:val>
            <c:numRef>
              <c:f>Surface_plots!$D$171:$D$183</c:f>
              <c:numCache>
                <c:formatCode>General</c:formatCode>
                <c:ptCount val="13"/>
                <c:pt idx="0">
                  <c:v>2.2409687042236328</c:v>
                </c:pt>
                <c:pt idx="1">
                  <c:v>2.3614778518676758</c:v>
                </c:pt>
                <c:pt idx="2">
                  <c:v>2.4870645999908447</c:v>
                </c:pt>
                <c:pt idx="3">
                  <c:v>2.6178784370422363</c:v>
                </c:pt>
                <c:pt idx="4">
                  <c:v>2.7540750503540039</c:v>
                </c:pt>
                <c:pt idx="5">
                  <c:v>2.8958206176757813</c:v>
                </c:pt>
                <c:pt idx="6">
                  <c:v>3.0432891845703125</c:v>
                </c:pt>
                <c:pt idx="7">
                  <c:v>3.1966652870178223</c:v>
                </c:pt>
                <c:pt idx="8">
                  <c:v>3.3561439514160156</c:v>
                </c:pt>
                <c:pt idx="9">
                  <c:v>3.5219330787658691</c:v>
                </c:pt>
                <c:pt idx="10">
                  <c:v>3.6942517757415771</c:v>
                </c:pt>
                <c:pt idx="11">
                  <c:v>3.8733344078063965</c:v>
                </c:pt>
                <c:pt idx="12">
                  <c:v>4.0594301223754883</c:v>
                </c:pt>
              </c:numCache>
            </c:numRef>
          </c:val>
        </c:ser>
        <c:ser>
          <c:idx val="3"/>
          <c:order val="3"/>
          <c:tx>
            <c:v>1.9</c:v>
          </c:tx>
          <c:val>
            <c:numRef>
              <c:f>Surface_plots!$E$171:$E$183</c:f>
              <c:numCache>
                <c:formatCode>General</c:formatCode>
                <c:ptCount val="13"/>
                <c:pt idx="0">
                  <c:v>2.1393172740936279</c:v>
                </c:pt>
                <c:pt idx="1">
                  <c:v>2.2550535202026367</c:v>
                </c:pt>
                <c:pt idx="2">
                  <c:v>2.3757045269012451</c:v>
                </c:pt>
                <c:pt idx="3">
                  <c:v>2.5014169216156006</c:v>
                </c:pt>
                <c:pt idx="4">
                  <c:v>2.6323432922363281</c:v>
                </c:pt>
                <c:pt idx="5">
                  <c:v>2.7686457633972168</c:v>
                </c:pt>
                <c:pt idx="6">
                  <c:v>2.9104945659637451</c:v>
                </c:pt>
                <c:pt idx="7">
                  <c:v>3.0580708980560303</c:v>
                </c:pt>
                <c:pt idx="8">
                  <c:v>3.2115647792816162</c:v>
                </c:pt>
                <c:pt idx="9">
                  <c:v>3.3711791038513184</c:v>
                </c:pt>
                <c:pt idx="10">
                  <c:v>3.537128210067749</c:v>
                </c:pt>
                <c:pt idx="11">
                  <c:v>3.7096407413482666</c:v>
                </c:pt>
                <c:pt idx="12">
                  <c:v>3.8889596462249756</c:v>
                </c:pt>
              </c:numCache>
            </c:numRef>
          </c:val>
        </c:ser>
        <c:ser>
          <c:idx val="4"/>
          <c:order val="4"/>
          <c:tx>
            <c:v>2.2</c:v>
          </c:tx>
          <c:val>
            <c:numRef>
              <c:f>Surface_plots!$F$171:$F$183</c:f>
              <c:numCache>
                <c:formatCode>General</c:formatCode>
                <c:ptCount val="13"/>
                <c:pt idx="0">
                  <c:v>2.0547747611999512</c:v>
                </c:pt>
                <c:pt idx="1">
                  <c:v>2.1665873527526855</c:v>
                </c:pt>
                <c:pt idx="2">
                  <c:v>2.283184289932251</c:v>
                </c:pt>
                <c:pt idx="3">
                  <c:v>2.4047088623046875</c:v>
                </c:pt>
                <c:pt idx="4">
                  <c:v>2.5313122272491455</c:v>
                </c:pt>
                <c:pt idx="5">
                  <c:v>2.6631531715393066</c:v>
                </c:pt>
                <c:pt idx="6">
                  <c:v>2.8003995418548584</c:v>
                </c:pt>
                <c:pt idx="7">
                  <c:v>2.9432289600372314</c:v>
                </c:pt>
                <c:pt idx="8">
                  <c:v>3.0918281078338623</c:v>
                </c:pt>
                <c:pt idx="9">
                  <c:v>3.246396541595459</c:v>
                </c:pt>
                <c:pt idx="10">
                  <c:v>3.4071440696716309</c:v>
                </c:pt>
                <c:pt idx="11">
                  <c:v>3.5742957592010498</c:v>
                </c:pt>
                <c:pt idx="12">
                  <c:v>3.748089075088501</c:v>
                </c:pt>
              </c:numCache>
            </c:numRef>
          </c:val>
        </c:ser>
        <c:ser>
          <c:idx val="5"/>
          <c:order val="5"/>
          <c:tx>
            <c:v>2.5</c:v>
          </c:tx>
          <c:val>
            <c:numRef>
              <c:f>Surface_plots!$G$171:$G$183</c:f>
              <c:numCache>
                <c:formatCode>General</c:formatCode>
                <c:ptCount val="13"/>
                <c:pt idx="0">
                  <c:v>1.9838194847106934</c:v>
                </c:pt>
                <c:pt idx="1">
                  <c:v>2.0923843383789062</c:v>
                </c:pt>
                <c:pt idx="2">
                  <c:v>2.2056283950805664</c:v>
                </c:pt>
                <c:pt idx="3">
                  <c:v>2.323692798614502</c:v>
                </c:pt>
                <c:pt idx="4">
                  <c:v>2.4467270374298096</c:v>
                </c:pt>
                <c:pt idx="5">
                  <c:v>2.5748879909515381</c:v>
                </c:pt>
                <c:pt idx="6">
                  <c:v>2.7083415985107422</c:v>
                </c:pt>
                <c:pt idx="7">
                  <c:v>2.8472621440887451</c:v>
                </c:pt>
                <c:pt idx="8">
                  <c:v>2.991835355758667</c:v>
                </c:pt>
                <c:pt idx="9">
                  <c:v>3.1422562599182129</c:v>
                </c:pt>
                <c:pt idx="10">
                  <c:v>3.2987332344055176</c:v>
                </c:pt>
                <c:pt idx="11">
                  <c:v>3.4614863395690918</c:v>
                </c:pt>
                <c:pt idx="12">
                  <c:v>3.6307511329650879</c:v>
                </c:pt>
              </c:numCache>
            </c:numRef>
          </c:val>
        </c:ser>
        <c:ser>
          <c:idx val="6"/>
          <c:order val="6"/>
          <c:tx>
            <c:v>2.8</c:v>
          </c:tx>
          <c:val>
            <c:numRef>
              <c:f>Surface_plots!$H$171:$H$183</c:f>
              <c:numCache>
                <c:formatCode>General</c:formatCode>
                <c:ptCount val="13"/>
                <c:pt idx="0">
                  <c:v>1.9237236976623535</c:v>
                </c:pt>
                <c:pt idx="1">
                  <c:v>2.0295825004577637</c:v>
                </c:pt>
                <c:pt idx="2">
                  <c:v>2.1400351524353027</c:v>
                </c:pt>
                <c:pt idx="3">
                  <c:v>2.2552225589752197</c:v>
                </c:pt>
                <c:pt idx="4">
                  <c:v>2.3752920627593994</c:v>
                </c:pt>
                <c:pt idx="5">
                  <c:v>2.5003995895385742</c:v>
                </c:pt>
                <c:pt idx="6">
                  <c:v>2.630709171295166</c:v>
                </c:pt>
                <c:pt idx="7">
                  <c:v>2.7663938999176025</c:v>
                </c:pt>
                <c:pt idx="8">
                  <c:v>2.9076366424560547</c:v>
                </c:pt>
                <c:pt idx="9">
                  <c:v>3.0546317100524902</c:v>
                </c:pt>
                <c:pt idx="10">
                  <c:v>3.2075839042663574</c:v>
                </c:pt>
                <c:pt idx="11">
                  <c:v>3.3667120933532715</c:v>
                </c:pt>
                <c:pt idx="12">
                  <c:v>3.5322475433349609</c:v>
                </c:pt>
              </c:numCache>
            </c:numRef>
          </c:val>
        </c:ser>
        <c:ser>
          <c:idx val="7"/>
          <c:order val="7"/>
          <c:tx>
            <c:v>3.1</c:v>
          </c:tx>
          <c:val>
            <c:numRef>
              <c:f>Surface_plots!$I$171:$I$183</c:f>
              <c:numCache>
                <c:formatCode>General</c:formatCode>
                <c:ptCount val="13"/>
                <c:pt idx="0">
                  <c:v>1.8723562955856323</c:v>
                </c:pt>
                <c:pt idx="1">
                  <c:v>1.9759455919265747</c:v>
                </c:pt>
                <c:pt idx="2">
                  <c:v>2.0840601921081543</c:v>
                </c:pt>
                <c:pt idx="3">
                  <c:v>2.1968405246734619</c:v>
                </c:pt>
                <c:pt idx="4">
                  <c:v>2.3144328594207764</c:v>
                </c:pt>
                <c:pt idx="5">
                  <c:v>2.4369924068450928</c:v>
                </c:pt>
                <c:pt idx="6">
                  <c:v>2.5646815299987793</c:v>
                </c:pt>
                <c:pt idx="7">
                  <c:v>2.6976730823516846</c:v>
                </c:pt>
                <c:pt idx="8">
                  <c:v>2.8361477851867676</c:v>
                </c:pt>
                <c:pt idx="9">
                  <c:v>2.9802985191345215</c:v>
                </c:pt>
                <c:pt idx="10">
                  <c:v>3.130328893661499</c:v>
                </c:pt>
                <c:pt idx="11">
                  <c:v>3.2864556312561035</c:v>
                </c:pt>
                <c:pt idx="12">
                  <c:v>3.4489083290100098</c:v>
                </c:pt>
              </c:numCache>
            </c:numRef>
          </c:val>
        </c:ser>
        <c:ser>
          <c:idx val="8"/>
          <c:order val="8"/>
          <c:tx>
            <c:v>3.4</c:v>
          </c:tx>
          <c:val>
            <c:numRef>
              <c:f>Surface_plots!$J$171:$J$183</c:f>
              <c:numCache>
                <c:formatCode>General</c:formatCode>
                <c:ptCount val="13"/>
                <c:pt idx="0">
                  <c:v>1.8280373811721802</c:v>
                </c:pt>
                <c:pt idx="1">
                  <c:v>1.9297107458114624</c:v>
                </c:pt>
                <c:pt idx="2">
                  <c:v>2.0358550548553467</c:v>
                </c:pt>
                <c:pt idx="3">
                  <c:v>2.1466093063354492</c:v>
                </c:pt>
                <c:pt idx="4">
                  <c:v>2.2621200084686279</c:v>
                </c:pt>
                <c:pt idx="5">
                  <c:v>2.3825414180755615</c:v>
                </c:pt>
                <c:pt idx="6">
                  <c:v>2.5080356597900391</c:v>
                </c:pt>
                <c:pt idx="7">
                  <c:v>2.6387736797332764</c:v>
                </c:pt>
                <c:pt idx="8">
                  <c:v>2.7749369144439697</c:v>
                </c:pt>
                <c:pt idx="9">
                  <c:v>2.9167160987854004</c:v>
                </c:pt>
                <c:pt idx="10">
                  <c:v>3.0643143653869629</c:v>
                </c:pt>
                <c:pt idx="11">
                  <c:v>3.2179462909698486</c:v>
                </c:pt>
                <c:pt idx="12">
                  <c:v>3.3778412342071533</c:v>
                </c:pt>
              </c:numCache>
            </c:numRef>
          </c:val>
        </c:ser>
        <c:ser>
          <c:idx val="9"/>
          <c:order val="9"/>
          <c:tx>
            <c:v>3.7</c:v>
          </c:tx>
          <c:val>
            <c:numRef>
              <c:f>Surface_plots!$K$171:$K$183</c:f>
              <c:numCache>
                <c:formatCode>General</c:formatCode>
                <c:ptCount val="13"/>
                <c:pt idx="0">
                  <c:v>1.7894296646118164</c:v>
                </c:pt>
                <c:pt idx="1">
                  <c:v>1.8894753456115723</c:v>
                </c:pt>
                <c:pt idx="2">
                  <c:v>1.9939481019973755</c:v>
                </c:pt>
                <c:pt idx="3">
                  <c:v>2.1029868125915527</c:v>
                </c:pt>
                <c:pt idx="4">
                  <c:v>2.216738224029541</c:v>
                </c:pt>
                <c:pt idx="5">
                  <c:v>2.3353555202484131</c:v>
                </c:pt>
                <c:pt idx="6">
                  <c:v>2.4590013027191162</c:v>
                </c:pt>
                <c:pt idx="7">
                  <c:v>2.5878453254699707</c:v>
                </c:pt>
                <c:pt idx="8">
                  <c:v>2.7220687866210937</c:v>
                </c:pt>
                <c:pt idx="9">
                  <c:v>2.8618619441986084</c:v>
                </c:pt>
                <c:pt idx="10">
                  <c:v>3.0074272155761719</c:v>
                </c:pt>
                <c:pt idx="11">
                  <c:v>3.1589784622192383</c:v>
                </c:pt>
                <c:pt idx="12">
                  <c:v>3.3167440891265869</c:v>
                </c:pt>
              </c:numCache>
            </c:numRef>
          </c:val>
        </c:ser>
        <c:ser>
          <c:idx val="10"/>
          <c:order val="10"/>
          <c:tx>
            <c:v>4</c:v>
          </c:tx>
          <c:val>
            <c:numRef>
              <c:f>Surface_plots!$L$171:$L$183</c:f>
              <c:numCache>
                <c:formatCode>General</c:formatCode>
                <c:ptCount val="13"/>
                <c:pt idx="0">
                  <c:v>1.7554582357406616</c:v>
                </c:pt>
                <c:pt idx="1">
                  <c:v>1.8541116714477539</c:v>
                </c:pt>
                <c:pt idx="2">
                  <c:v>1.9571572542190552</c:v>
                </c:pt>
                <c:pt idx="3">
                  <c:v>2.0647344589233398</c:v>
                </c:pt>
                <c:pt idx="4">
                  <c:v>2.1769895553588867</c:v>
                </c:pt>
                <c:pt idx="5">
                  <c:v>2.2940764427185059</c:v>
                </c:pt>
                <c:pt idx="6">
                  <c:v>2.4161562919616699</c:v>
                </c:pt>
                <c:pt idx="7">
                  <c:v>2.543400764465332</c:v>
                </c:pt>
                <c:pt idx="8">
                  <c:v>2.6759889125823975</c:v>
                </c:pt>
                <c:pt idx="9">
                  <c:v>2.8141119480133057</c:v>
                </c:pt>
                <c:pt idx="10">
                  <c:v>2.9579710960388184</c:v>
                </c:pt>
                <c:pt idx="11">
                  <c:v>3.1077806949615479</c:v>
                </c:pt>
                <c:pt idx="12">
                  <c:v>3.2637677192687988</c:v>
                </c:pt>
              </c:numCache>
            </c:numRef>
          </c:val>
        </c:ser>
        <c:bandFmts>
          <c:bandFmt>
            <c:idx val="0"/>
          </c:bandFmt>
          <c:bandFmt>
            <c:idx val="1"/>
          </c:bandFmt>
          <c:bandFmt>
            <c:idx val="2"/>
          </c:bandFmt>
          <c:bandFmt>
            <c:idx val="3"/>
          </c:bandFmt>
          <c:bandFmt>
            <c:idx val="4"/>
          </c:bandFmt>
        </c:bandFmts>
        <c:axId val="91124224"/>
        <c:axId val="89836928"/>
        <c:axId val="76491904"/>
      </c:surface3DChart>
      <c:catAx>
        <c:axId val="911242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defect height / wall thickness</a:t>
                </a: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( η )</a:t>
                </a:r>
                <a:endParaRPr lang="en-CA"/>
              </a:p>
            </c:rich>
          </c:tx>
          <c:layout>
            <c:manualLayout>
              <c:xMode val="edge"/>
              <c:yMode val="edge"/>
              <c:x val="0.13396452562073807"/>
              <c:y val="0.8079729340190857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9836928"/>
        <c:crosses val="autoZero"/>
        <c:auto val="1"/>
        <c:lblAlgn val="ctr"/>
        <c:lblOffset val="100"/>
        <c:noMultiLvlLbl val="0"/>
      </c:catAx>
      <c:valAx>
        <c:axId val="89836928"/>
        <c:scaling>
          <c:orientation val="minMax"/>
        </c:scaling>
        <c:delete val="0"/>
        <c:axPos val="r"/>
        <c:majorGridlines/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tensile strain</a:t>
                </a:r>
              </a:p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capacity</a:t>
                </a:r>
              </a:p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in (%)</a:t>
                </a:r>
                <a:endParaRPr lang="en-CA"/>
              </a:p>
            </c:rich>
          </c:tx>
          <c:layout>
            <c:manualLayout>
              <c:xMode val="edge"/>
              <c:yMode val="edge"/>
              <c:x val="0.80450388616677149"/>
              <c:y val="0.3823931546128988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1124224"/>
        <c:crosses val="min"/>
        <c:crossBetween val="midCat"/>
      </c:valAx>
      <c:serAx>
        <c:axId val="764919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defect length / wall thickness</a:t>
                </a:r>
              </a:p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 ( ξ )</a:t>
                </a:r>
                <a:endParaRPr lang="en-CA"/>
              </a:p>
            </c:rich>
          </c:tx>
          <c:layout>
            <c:manualLayout>
              <c:xMode val="edge"/>
              <c:yMode val="edge"/>
              <c:x val="0.58225454868988835"/>
              <c:y val="0.8457187504741098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80808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9836928"/>
        <c:crosses val="autoZero"/>
        <c:tickLblSkip val="1"/>
        <c:tickMarkSkip val="1"/>
      </c:serAx>
      <c:spPr>
        <a:noFill/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legendEntry>
      <c:legendEntry>
        <c:idx val="1"/>
        <c:txPr>
          <a:bodyPr/>
          <a:lstStyle/>
          <a:p>
            <a:pPr rtl="0">
              <a:defRPr sz="92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</c:legendEntry>
      <c:overlay val="0"/>
      <c:txPr>
        <a:bodyPr/>
        <a:lstStyle/>
        <a:p>
          <a:pPr rtl="0">
            <a:defRPr sz="920" b="0" i="0" u="none" strike="noStrike" baseline="0">
              <a:solidFill>
                <a:srgbClr val="000000"/>
              </a:solidFill>
              <a:latin typeface="Calibri"/>
              <a:ea typeface="Calibri"/>
              <a:cs typeface="Calibri"/>
            </a:defRPr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CA" sz="105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flaw height / pipe thickness   η = 0.4</a:t>
            </a:r>
            <a:endParaRPr lang="en-CA"/>
          </a:p>
        </c:rich>
      </c:tx>
      <c:layout>
        <c:manualLayout>
          <c:xMode val="edge"/>
          <c:yMode val="edge"/>
          <c:x val="0.37900457288199801"/>
          <c:y val="3.7483369124314006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1696206831018616"/>
          <c:y val="0.18526937144905078"/>
          <c:w val="0.67077621355688921"/>
          <c:h val="0.6352145072774994"/>
        </c:manualLayout>
      </c:layout>
      <c:lineChart>
        <c:grouping val="standard"/>
        <c:varyColors val="0"/>
        <c:ser>
          <c:idx val="0"/>
          <c:order val="0"/>
          <c:val>
            <c:numRef>
              <c:f>Surface_plots!$B$140:$K$140</c:f>
              <c:numCache>
                <c:formatCode>General</c:formatCode>
                <c:ptCount val="10"/>
                <c:pt idx="0">
                  <c:v>1.409308910369873</c:v>
                </c:pt>
                <c:pt idx="1">
                  <c:v>1.1869724988937378</c:v>
                </c:pt>
                <c:pt idx="2">
                  <c:v>1.0245559215545654</c:v>
                </c:pt>
                <c:pt idx="3">
                  <c:v>0.89933347702026367</c:v>
                </c:pt>
                <c:pt idx="4">
                  <c:v>0.79781210422515869</c:v>
                </c:pt>
                <c:pt idx="5">
                  <c:v>0.71157729625701904</c:v>
                </c:pt>
                <c:pt idx="6">
                  <c:v>0.63513922691345215</c:v>
                </c:pt>
                <c:pt idx="7">
                  <c:v>0.56476187705993652</c:v>
                </c:pt>
                <c:pt idx="8">
                  <c:v>0.49779853224754333</c:v>
                </c:pt>
                <c:pt idx="9">
                  <c:v>0.43229904770851135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8200320"/>
        <c:axId val="89838656"/>
      </c:lineChart>
      <c:catAx>
        <c:axId val="78200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flaw length / thickness  ( ξ )</a:t>
                </a:r>
                <a:endParaRPr lang="en-CA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9838656"/>
        <c:crosses val="autoZero"/>
        <c:auto val="1"/>
        <c:lblAlgn val="ctr"/>
        <c:lblOffset val="100"/>
        <c:noMultiLvlLbl val="0"/>
      </c:catAx>
      <c:valAx>
        <c:axId val="8983865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tensile strain</a:t>
                </a:r>
              </a:p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capacity in ( % )</a:t>
                </a:r>
                <a:endParaRPr lang="en-CA"/>
              </a:p>
            </c:rich>
          </c:tx>
          <c:layout>
            <c:manualLayout>
              <c:xMode val="edge"/>
              <c:yMode val="edge"/>
              <c:x val="9.0768622994290671E-2"/>
              <c:y val="8.7814841326652338E-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78200320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CA" sz="105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flaw length / pipe thickness ξ = 9</a:t>
            </a:r>
            <a:endParaRPr lang="en-CA"/>
          </a:p>
        </c:rich>
      </c:tx>
      <c:layout>
        <c:manualLayout>
          <c:xMode val="edge"/>
          <c:yMode val="edge"/>
          <c:x val="0.44705555555555554"/>
          <c:y val="4.1666666666666664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20894685039370078"/>
          <c:y val="0.18482648002333041"/>
          <c:w val="0.6966087051618548"/>
          <c:h val="0.63342957130358701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C00000"/>
              </a:solidFill>
            </a:ln>
          </c:spPr>
          <c:cat>
            <c:numRef>
              <c:f>Surface_plots!$A$138:$A$147</c:f>
              <c:numCache>
                <c:formatCode>General</c:formatCode>
                <c:ptCount val="10"/>
                <c:pt idx="0">
                  <c:v>0.5</c:v>
                </c:pt>
                <c:pt idx="1">
                  <c:v>0.48</c:v>
                </c:pt>
                <c:pt idx="2">
                  <c:v>0.46</c:v>
                </c:pt>
                <c:pt idx="3">
                  <c:v>0.44</c:v>
                </c:pt>
                <c:pt idx="4">
                  <c:v>0.42</c:v>
                </c:pt>
                <c:pt idx="5">
                  <c:v>0.4</c:v>
                </c:pt>
                <c:pt idx="6">
                  <c:v>0.38</c:v>
                </c:pt>
                <c:pt idx="7">
                  <c:v>0.36</c:v>
                </c:pt>
                <c:pt idx="8">
                  <c:v>0.34</c:v>
                </c:pt>
                <c:pt idx="9">
                  <c:v>0.32</c:v>
                </c:pt>
              </c:numCache>
            </c:numRef>
          </c:cat>
          <c:val>
            <c:numRef>
              <c:f>Surface_plots!$J$138:$J$147</c:f>
              <c:numCache>
                <c:formatCode>General</c:formatCode>
                <c:ptCount val="10"/>
                <c:pt idx="0">
                  <c:v>0.62199258804321289</c:v>
                </c:pt>
                <c:pt idx="1">
                  <c:v>0.54997718334197998</c:v>
                </c:pt>
                <c:pt idx="2">
                  <c:v>0.49779853224754333</c:v>
                </c:pt>
                <c:pt idx="3">
                  <c:v>0.47266992926597595</c:v>
                </c:pt>
                <c:pt idx="4">
                  <c:v>0.48212796449661255</c:v>
                </c:pt>
                <c:pt idx="5">
                  <c:v>0.53411078453063965</c:v>
                </c:pt>
                <c:pt idx="6">
                  <c:v>0.63705348968505859</c:v>
                </c:pt>
                <c:pt idx="7">
                  <c:v>0.80000513792037964</c:v>
                </c:pt>
                <c:pt idx="8">
                  <c:v>1.0327745676040649</c:v>
                </c:pt>
                <c:pt idx="9">
                  <c:v>1.3461141586303711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125248"/>
        <c:axId val="89840384"/>
      </c:lineChart>
      <c:catAx>
        <c:axId val="91125248"/>
        <c:scaling>
          <c:orientation val="maxMin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flaw height / pipe thickness ( η )</a:t>
                </a:r>
                <a:endParaRPr lang="en-CA"/>
              </a:p>
            </c:rich>
          </c:tx>
          <c:layout>
            <c:manualLayout>
              <c:xMode val="edge"/>
              <c:yMode val="edge"/>
              <c:x val="0.36407764654418195"/>
              <c:y val="0.89719889180519108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89840384"/>
        <c:crosses val="autoZero"/>
        <c:auto val="1"/>
        <c:lblAlgn val="ctr"/>
        <c:lblOffset val="100"/>
        <c:noMultiLvlLbl val="0"/>
      </c:catAx>
      <c:valAx>
        <c:axId val="89840384"/>
        <c:scaling>
          <c:orientation val="minMax"/>
        </c:scaling>
        <c:delete val="0"/>
        <c:axPos val="r"/>
        <c:majorGridlines/>
        <c:title>
          <c:tx>
            <c:rich>
              <a:bodyPr rot="0" vert="horz"/>
              <a:lstStyle/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Tensile strain</a:t>
                </a:r>
              </a:p>
              <a:p>
                <a:pPr algn="ctr"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capacity in ( % )</a:t>
                </a:r>
                <a:endParaRPr lang="en-CA"/>
              </a:p>
            </c:rich>
          </c:tx>
          <c:layout>
            <c:manualLayout>
              <c:xMode val="edge"/>
              <c:yMode val="edge"/>
              <c:x val="0.1111111111111111"/>
              <c:y val="1.72703412073490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1125248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CA" sz="105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Y/T ( λ ) = 0.82</a:t>
            </a:r>
            <a:endParaRPr lang="en-CA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9.3224628171478544E-2"/>
          <c:y val="0.20334499854184893"/>
          <c:w val="0.76931836723594038"/>
          <c:h val="0.58250364537766108"/>
        </c:manualLayout>
      </c:layout>
      <c:lineChart>
        <c:grouping val="standard"/>
        <c:varyColors val="0"/>
        <c:ser>
          <c:idx val="0"/>
          <c:order val="0"/>
          <c:val>
            <c:numRef>
              <c:f>Surface_plots!$F$104:$F$114</c:f>
              <c:numCache>
                <c:formatCode>General</c:formatCode>
                <c:ptCount val="11"/>
                <c:pt idx="0">
                  <c:v>0.39018866419792175</c:v>
                </c:pt>
                <c:pt idx="1">
                  <c:v>0.4608495831489563</c:v>
                </c:pt>
                <c:pt idx="2">
                  <c:v>0.53048723936080933</c:v>
                </c:pt>
                <c:pt idx="3">
                  <c:v>0.59926068782806396</c:v>
                </c:pt>
                <c:pt idx="4">
                  <c:v>0.66728734970092773</c:v>
                </c:pt>
                <c:pt idx="5">
                  <c:v>0.73465752601623535</c:v>
                </c:pt>
                <c:pt idx="6">
                  <c:v>0.80144238471984863</c:v>
                </c:pt>
                <c:pt idx="7">
                  <c:v>0.86769974231719971</c:v>
                </c:pt>
                <c:pt idx="8">
                  <c:v>0.93347740173339844</c:v>
                </c:pt>
                <c:pt idx="9">
                  <c:v>0.99881535768508911</c:v>
                </c:pt>
                <c:pt idx="10">
                  <c:v>1.0637476444244385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125760"/>
        <c:axId val="91783168"/>
      </c:lineChart>
      <c:catAx>
        <c:axId val="9112576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CTOD toughness ( δ ) [mm]</a:t>
                </a:r>
                <a:endParaRPr lang="en-CA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1783168"/>
        <c:crosses val="autoZero"/>
        <c:auto val="1"/>
        <c:lblAlgn val="ctr"/>
        <c:lblOffset val="100"/>
        <c:noMultiLvlLbl val="0"/>
      </c:catAx>
      <c:valAx>
        <c:axId val="9178316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/>
                  <a:t>tensile strain capacity in (%)</a:t>
                </a:r>
              </a:p>
            </c:rich>
          </c:tx>
          <c:layout>
            <c:manualLayout>
              <c:xMode val="edge"/>
              <c:yMode val="edge"/>
              <c:x val="1.1111111111111112E-2"/>
              <c:y val="2.9068241469816271E-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1125760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r>
              <a:rPr lang="en-CA" sz="1050" b="1" i="0" u="none" strike="noStrike" baseline="0">
                <a:solidFill>
                  <a:srgbClr val="000000"/>
                </a:solidFill>
                <a:latin typeface="Calibri"/>
                <a:cs typeface="Calibri"/>
              </a:rPr>
              <a:t>CTOD toughness ( δ ) = 0.2</a:t>
            </a:r>
            <a:endParaRPr lang="en-CA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7.9002405949256338E-2"/>
          <c:y val="0.2088079615048119"/>
          <c:w val="0.7873739740007808"/>
          <c:h val="0.61983413415176136"/>
        </c:manualLayout>
      </c:layout>
      <c:lineChart>
        <c:grouping val="standard"/>
        <c:varyColors val="0"/>
        <c:ser>
          <c:idx val="0"/>
          <c:order val="0"/>
          <c:spPr>
            <a:ln>
              <a:solidFill>
                <a:srgbClr val="C00000"/>
              </a:solidFill>
            </a:ln>
          </c:spPr>
          <c:val>
            <c:numRef>
              <c:f>Surface_plots!$B$109:$J$109</c:f>
              <c:numCache>
                <c:formatCode>General</c:formatCode>
                <c:ptCount val="9"/>
                <c:pt idx="0">
                  <c:v>1.0809707641601563</c:v>
                </c:pt>
                <c:pt idx="1">
                  <c:v>0.9704241156578064</c:v>
                </c:pt>
                <c:pt idx="2">
                  <c:v>0.87809699773788452</c:v>
                </c:pt>
                <c:pt idx="3">
                  <c:v>0.80042314529418945</c:v>
                </c:pt>
                <c:pt idx="4">
                  <c:v>0.73465752601623535</c:v>
                </c:pt>
                <c:pt idx="5">
                  <c:v>0.67866432666778564</c:v>
                </c:pt>
                <c:pt idx="6">
                  <c:v>0.63076537847518921</c:v>
                </c:pt>
                <c:pt idx="7">
                  <c:v>0.58963024616241455</c:v>
                </c:pt>
                <c:pt idx="8">
                  <c:v>0.54349780082702637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126272"/>
        <c:axId val="91784896"/>
      </c:lineChart>
      <c:catAx>
        <c:axId val="91126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λ (Y/T)</a:t>
                </a:r>
                <a:endParaRPr lang="en-CA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1784896"/>
        <c:crosses val="autoZero"/>
        <c:auto val="1"/>
        <c:lblAlgn val="ctr"/>
        <c:lblOffset val="100"/>
        <c:noMultiLvlLbl val="0"/>
      </c:catAx>
      <c:valAx>
        <c:axId val="9178489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/>
                  <a:t>tensile strain capacity in (%)</a:t>
                </a:r>
              </a:p>
            </c:rich>
          </c:tx>
          <c:layout>
            <c:manualLayout>
              <c:xMode val="edge"/>
              <c:yMode val="edge"/>
              <c:x val="6.5279248406907566E-3"/>
              <c:y val="7.9531751821757101E-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1126272"/>
        <c:crosses val="autoZero"/>
        <c:crossBetween val="between"/>
      </c:valAx>
    </c:plotArea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l-GR" b="1"/>
              <a:t>ξ</a:t>
            </a:r>
            <a:r>
              <a:rPr lang="en-CA" b="1"/>
              <a:t> = 8, </a:t>
            </a:r>
            <a:r>
              <a:rPr lang="el-GR" b="1"/>
              <a:t>λ</a:t>
            </a:r>
            <a:r>
              <a:rPr lang="en-CA" b="1"/>
              <a:t>= 0.8</a:t>
            </a: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9.5351597126738536E-3"/>
          <c:y val="0.17858368342934769"/>
          <c:w val="0.88099845385257991"/>
          <c:h val="0.62142882217114093"/>
        </c:manualLayout>
      </c:layout>
      <c:scatterChart>
        <c:scatterStyle val="lineMarker"/>
        <c:varyColors val="0"/>
        <c:ser>
          <c:idx val="0"/>
          <c:order val="0"/>
          <c:tx>
            <c:v>δ = 0.3</c:v>
          </c:tx>
          <c:xVal>
            <c:numRef>
              <c:f>Surface_plots!$A$70:$A$80</c:f>
              <c:numCache>
                <c:formatCode>General</c:formatCode>
                <c:ptCount val="11"/>
                <c:pt idx="0">
                  <c:v>0.1</c:v>
                </c:pt>
                <c:pt idx="1">
                  <c:v>0.14000000000000001</c:v>
                </c:pt>
                <c:pt idx="2">
                  <c:v>0.18</c:v>
                </c:pt>
                <c:pt idx="3">
                  <c:v>0.22</c:v>
                </c:pt>
                <c:pt idx="4">
                  <c:v>0.26</c:v>
                </c:pt>
                <c:pt idx="5">
                  <c:v>0.3</c:v>
                </c:pt>
                <c:pt idx="6">
                  <c:v>0.34</c:v>
                </c:pt>
                <c:pt idx="7">
                  <c:v>0.38</c:v>
                </c:pt>
                <c:pt idx="8">
                  <c:v>0.42</c:v>
                </c:pt>
                <c:pt idx="9">
                  <c:v>0.46</c:v>
                </c:pt>
                <c:pt idx="10">
                  <c:v>0.5</c:v>
                </c:pt>
              </c:numCache>
            </c:numRef>
          </c:xVal>
          <c:yVal>
            <c:numRef>
              <c:f>Surface_plots!$X$74:$X$84</c:f>
              <c:numCache>
                <c:formatCode>0.0000</c:formatCode>
                <c:ptCount val="11"/>
                <c:pt idx="0">
                  <c:v>1.86033034324646</c:v>
                </c:pt>
                <c:pt idx="1">
                  <c:v>1.5246700048446655</c:v>
                </c:pt>
                <c:pt idx="2">
                  <c:v>1.2953656911849976</c:v>
                </c:pt>
                <c:pt idx="3">
                  <c:v>1.1227328777313232</c:v>
                </c:pt>
                <c:pt idx="4">
                  <c:v>0.98430043458938599</c:v>
                </c:pt>
                <c:pt idx="5">
                  <c:v>0.86816680431365967</c:v>
                </c:pt>
                <c:pt idx="6">
                  <c:v>0.7673332691192627</c:v>
                </c:pt>
                <c:pt idx="7">
                  <c:v>0.67736244201660156</c:v>
                </c:pt>
                <c:pt idx="8">
                  <c:v>0.59527379274368286</c:v>
                </c:pt>
                <c:pt idx="9">
                  <c:v>0.51897144317626953</c:v>
                </c:pt>
                <c:pt idx="10">
                  <c:v>0.44692406058311462</c:v>
                </c:pt>
              </c:numCache>
            </c:numRef>
          </c:yVal>
          <c:smooth val="0"/>
        </c:ser>
        <c:ser>
          <c:idx val="1"/>
          <c:order val="1"/>
          <c:tx>
            <c:v>δ = 0.25</c:v>
          </c:tx>
          <c:xVal>
            <c:numRef>
              <c:f>Surface_plots!$A$70:$A$80</c:f>
              <c:numCache>
                <c:formatCode>General</c:formatCode>
                <c:ptCount val="11"/>
                <c:pt idx="0">
                  <c:v>0.1</c:v>
                </c:pt>
                <c:pt idx="1">
                  <c:v>0.14000000000000001</c:v>
                </c:pt>
                <c:pt idx="2">
                  <c:v>0.18</c:v>
                </c:pt>
                <c:pt idx="3">
                  <c:v>0.22</c:v>
                </c:pt>
                <c:pt idx="4">
                  <c:v>0.26</c:v>
                </c:pt>
                <c:pt idx="5">
                  <c:v>0.3</c:v>
                </c:pt>
                <c:pt idx="6">
                  <c:v>0.34</c:v>
                </c:pt>
                <c:pt idx="7">
                  <c:v>0.38</c:v>
                </c:pt>
                <c:pt idx="8">
                  <c:v>0.42</c:v>
                </c:pt>
                <c:pt idx="9">
                  <c:v>0.46</c:v>
                </c:pt>
                <c:pt idx="10">
                  <c:v>0.5</c:v>
                </c:pt>
              </c:numCache>
            </c:numRef>
          </c:xVal>
          <c:yVal>
            <c:numRef>
              <c:f>Surface_plots!$Y$74:$Y$84</c:f>
              <c:numCache>
                <c:formatCode>0.0000</c:formatCode>
                <c:ptCount val="11"/>
                <c:pt idx="0">
                  <c:v>1.5459848642349243</c:v>
                </c:pt>
                <c:pt idx="1">
                  <c:v>1.2745304107666016</c:v>
                </c:pt>
                <c:pt idx="2">
                  <c:v>1.0892456769943237</c:v>
                </c:pt>
                <c:pt idx="3">
                  <c:v>0.94966191053390503</c:v>
                </c:pt>
                <c:pt idx="4">
                  <c:v>0.8374895453453064</c:v>
                </c:pt>
                <c:pt idx="5">
                  <c:v>0.74304318428039551</c:v>
                </c:pt>
                <c:pt idx="6">
                  <c:v>0.66062355041503906</c:v>
                </c:pt>
                <c:pt idx="7">
                  <c:v>0.58661109209060669</c:v>
                </c:pt>
                <c:pt idx="8">
                  <c:v>0.51856720447540283</c:v>
                </c:pt>
                <c:pt idx="9">
                  <c:v>0.45476901531219482</c:v>
                </c:pt>
                <c:pt idx="10">
                  <c:v>0.39394927024841309</c:v>
                </c:pt>
              </c:numCache>
            </c:numRef>
          </c:yVal>
          <c:smooth val="0"/>
        </c:ser>
        <c:ser>
          <c:idx val="2"/>
          <c:order val="2"/>
          <c:tx>
            <c:v>δ = 0.2</c:v>
          </c:tx>
          <c:xVal>
            <c:numRef>
              <c:f>Surface_plots!$A$70:$A$80</c:f>
              <c:numCache>
                <c:formatCode>General</c:formatCode>
                <c:ptCount val="11"/>
                <c:pt idx="0">
                  <c:v>0.1</c:v>
                </c:pt>
                <c:pt idx="1">
                  <c:v>0.14000000000000001</c:v>
                </c:pt>
                <c:pt idx="2">
                  <c:v>0.18</c:v>
                </c:pt>
                <c:pt idx="3">
                  <c:v>0.22</c:v>
                </c:pt>
                <c:pt idx="4">
                  <c:v>0.26</c:v>
                </c:pt>
                <c:pt idx="5">
                  <c:v>0.3</c:v>
                </c:pt>
                <c:pt idx="6">
                  <c:v>0.34</c:v>
                </c:pt>
                <c:pt idx="7">
                  <c:v>0.38</c:v>
                </c:pt>
                <c:pt idx="8">
                  <c:v>0.42</c:v>
                </c:pt>
                <c:pt idx="9">
                  <c:v>0.46</c:v>
                </c:pt>
                <c:pt idx="10">
                  <c:v>0.5</c:v>
                </c:pt>
              </c:numCache>
            </c:numRef>
          </c:xVal>
          <c:yVal>
            <c:numRef>
              <c:f>Surface_plots!$Z$74:$Z$84</c:f>
              <c:numCache>
                <c:formatCode>0.0000</c:formatCode>
                <c:ptCount val="11"/>
                <c:pt idx="0">
                  <c:v>1.2326000928878784</c:v>
                </c:pt>
                <c:pt idx="1">
                  <c:v>1.0235269069671631</c:v>
                </c:pt>
                <c:pt idx="2">
                  <c:v>0.88106322288513184</c:v>
                </c:pt>
                <c:pt idx="3">
                  <c:v>0.77371746301651001</c:v>
                </c:pt>
                <c:pt idx="4">
                  <c:v>0.68726605176925659</c:v>
                </c:pt>
                <c:pt idx="5">
                  <c:v>0.61417436599731445</c:v>
                </c:pt>
                <c:pt idx="6">
                  <c:v>0.55000138282775879</c:v>
                </c:pt>
                <c:pt idx="7">
                  <c:v>0.49191734194755554</c:v>
                </c:pt>
                <c:pt idx="8">
                  <c:v>0.43800497055053711</c:v>
                </c:pt>
                <c:pt idx="9">
                  <c:v>0.38689848780632019</c:v>
                </c:pt>
                <c:pt idx="10">
                  <c:v>0.33758145570755005</c:v>
                </c:pt>
              </c:numCache>
            </c:numRef>
          </c:yVal>
          <c:smooth val="0"/>
        </c:ser>
        <c:ser>
          <c:idx val="3"/>
          <c:order val="3"/>
          <c:tx>
            <c:v>δ = 0.15</c:v>
          </c:tx>
          <c:xVal>
            <c:numRef>
              <c:f>Surface_plots!$A$70:$A$80</c:f>
              <c:numCache>
                <c:formatCode>General</c:formatCode>
                <c:ptCount val="11"/>
                <c:pt idx="0">
                  <c:v>0.1</c:v>
                </c:pt>
                <c:pt idx="1">
                  <c:v>0.14000000000000001</c:v>
                </c:pt>
                <c:pt idx="2">
                  <c:v>0.18</c:v>
                </c:pt>
                <c:pt idx="3">
                  <c:v>0.22</c:v>
                </c:pt>
                <c:pt idx="4">
                  <c:v>0.26</c:v>
                </c:pt>
                <c:pt idx="5">
                  <c:v>0.3</c:v>
                </c:pt>
                <c:pt idx="6">
                  <c:v>0.34</c:v>
                </c:pt>
                <c:pt idx="7">
                  <c:v>0.38</c:v>
                </c:pt>
                <c:pt idx="8">
                  <c:v>0.42</c:v>
                </c:pt>
                <c:pt idx="9">
                  <c:v>0.46</c:v>
                </c:pt>
                <c:pt idx="10">
                  <c:v>0.5</c:v>
                </c:pt>
              </c:numCache>
            </c:numRef>
          </c:xVal>
          <c:yVal>
            <c:numRef>
              <c:f>Surface_plots!$AA$74:$AA$84</c:f>
              <c:numCache>
                <c:formatCode>0.0000</c:formatCode>
                <c:ptCount val="11"/>
                <c:pt idx="0">
                  <c:v>0.92041653394699097</c:v>
                </c:pt>
                <c:pt idx="1">
                  <c:v>0.77143532037734985</c:v>
                </c:pt>
                <c:pt idx="2">
                  <c:v>0.67026311159133911</c:v>
                </c:pt>
                <c:pt idx="3">
                  <c:v>0.59409874677658081</c:v>
                </c:pt>
                <c:pt idx="4">
                  <c:v>0.53264659643173218</c:v>
                </c:pt>
                <c:pt idx="5">
                  <c:v>0.48044532537460327</c:v>
                </c:pt>
                <c:pt idx="6">
                  <c:v>0.43426430225372314</c:v>
                </c:pt>
                <c:pt idx="7">
                  <c:v>0.39203107357025146</c:v>
                </c:pt>
                <c:pt idx="8">
                  <c:v>0.35232657194137573</c:v>
                </c:pt>
                <c:pt idx="9">
                  <c:v>0.31412419676780701</c:v>
                </c:pt>
                <c:pt idx="10">
                  <c:v>0.27664381265640259</c:v>
                </c:pt>
              </c:numCache>
            </c:numRef>
          </c:yVal>
          <c:smooth val="0"/>
        </c:ser>
        <c:ser>
          <c:idx val="4"/>
          <c:order val="4"/>
          <c:tx>
            <c:v>δ = 0.1</c:v>
          </c:tx>
          <c:xVal>
            <c:numRef>
              <c:f>Surface_plots!$A$70:$A$80</c:f>
              <c:numCache>
                <c:formatCode>General</c:formatCode>
                <c:ptCount val="11"/>
                <c:pt idx="0">
                  <c:v>0.1</c:v>
                </c:pt>
                <c:pt idx="1">
                  <c:v>0.14000000000000001</c:v>
                </c:pt>
                <c:pt idx="2">
                  <c:v>0.18</c:v>
                </c:pt>
                <c:pt idx="3">
                  <c:v>0.22</c:v>
                </c:pt>
                <c:pt idx="4">
                  <c:v>0.26</c:v>
                </c:pt>
                <c:pt idx="5">
                  <c:v>0.3</c:v>
                </c:pt>
                <c:pt idx="6">
                  <c:v>0.34</c:v>
                </c:pt>
                <c:pt idx="7">
                  <c:v>0.38</c:v>
                </c:pt>
                <c:pt idx="8">
                  <c:v>0.42</c:v>
                </c:pt>
                <c:pt idx="9">
                  <c:v>0.46</c:v>
                </c:pt>
                <c:pt idx="10">
                  <c:v>0.5</c:v>
                </c:pt>
              </c:numCache>
            </c:numRef>
          </c:xVal>
          <c:yVal>
            <c:numRef>
              <c:f>Surface_plots!$AB$74:$AB$84</c:f>
              <c:numCache>
                <c:formatCode>0.0000</c:formatCode>
                <c:ptCount val="11"/>
                <c:pt idx="0">
                  <c:v>0.60984092950820923</c:v>
                </c:pt>
                <c:pt idx="1">
                  <c:v>0.51787257194519043</c:v>
                </c:pt>
                <c:pt idx="2">
                  <c:v>0.45588994026184082</c:v>
                </c:pt>
                <c:pt idx="3">
                  <c:v>0.40941581130027771</c:v>
                </c:pt>
                <c:pt idx="4">
                  <c:v>0.3719087541103363</c:v>
                </c:pt>
                <c:pt idx="5">
                  <c:v>0.33988535404205322</c:v>
                </c:pt>
                <c:pt idx="6">
                  <c:v>0.31126758456230164</c:v>
                </c:pt>
                <c:pt idx="7">
                  <c:v>0.28470265865325928</c:v>
                </c:pt>
                <c:pt idx="8">
                  <c:v>0.25924339890480042</c:v>
                </c:pt>
                <c:pt idx="9">
                  <c:v>0.23418278992176056</c:v>
                </c:pt>
                <c:pt idx="10">
                  <c:v>0.20896127820014954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787200"/>
        <c:axId val="91787776"/>
      </c:scatterChart>
      <c:valAx>
        <c:axId val="9178720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 sz="1100" b="1"/>
                  <a:t>(</a:t>
                </a:r>
                <a:r>
                  <a:rPr lang="el-GR" sz="1100" b="1"/>
                  <a:t>η</a:t>
                </a:r>
                <a:r>
                  <a:rPr lang="en-CA" sz="1100" b="1"/>
                  <a:t>)</a:t>
                </a:r>
              </a:p>
            </c:rich>
          </c:tx>
          <c:layout>
            <c:manualLayout>
              <c:xMode val="edge"/>
              <c:yMode val="edge"/>
              <c:x val="0.93020022497187838"/>
              <c:y val="0.8869128820197783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1787776"/>
        <c:crosses val="autoZero"/>
        <c:crossBetween val="midCat"/>
      </c:valAx>
      <c:valAx>
        <c:axId val="91787776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 sz="1000" b="1"/>
                  <a:t>tensile</a:t>
                </a:r>
                <a:r>
                  <a:rPr lang="en-CA" sz="1000" b="1" baseline="0"/>
                  <a:t> strain </a:t>
                </a:r>
              </a:p>
              <a:p>
                <a:pPr>
                  <a:defRPr/>
                </a:pPr>
                <a:r>
                  <a:rPr lang="en-CA" sz="1000" b="1" baseline="0"/>
                  <a:t>capacity in (%)</a:t>
                </a:r>
                <a:endParaRPr lang="en-CA" sz="1000" b="1"/>
              </a:p>
            </c:rich>
          </c:tx>
          <c:layout>
            <c:manualLayout>
              <c:xMode val="edge"/>
              <c:yMode val="edge"/>
              <c:x val="1.2698412698412698E-2"/>
              <c:y val="1.209461820368429E-2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1787200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5111111111111106"/>
          <c:y val="0.1809105905105515"/>
          <c:w val="0.19831746031746031"/>
          <c:h val="0.37322834645669289"/>
        </c:manualLayout>
      </c:layout>
      <c:overlay val="1"/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l-GR" b="1">
                <a:latin typeface="+mn-lt"/>
                <a:cs typeface="Times New Roman"/>
              </a:rPr>
              <a:t>ξ</a:t>
            </a:r>
            <a:r>
              <a:rPr lang="en-CA" b="1">
                <a:latin typeface="+mn-lt"/>
                <a:cs typeface="Times New Roman"/>
              </a:rPr>
              <a:t> = 8,  δ = 0.2</a:t>
            </a:r>
            <a:endParaRPr lang="en-CA" b="1">
              <a:latin typeface="+mn-lt"/>
            </a:endParaRPr>
          </a:p>
        </c:rich>
      </c:tx>
      <c:layout/>
      <c:overlay val="0"/>
    </c:title>
    <c:autoTitleDeleted val="0"/>
    <c:plotArea>
      <c:layout>
        <c:manualLayout>
          <c:layoutTarget val="inner"/>
          <c:xMode val="edge"/>
          <c:yMode val="edge"/>
          <c:x val="0.11417811027611914"/>
          <c:y val="0.24052696638726612"/>
          <c:w val="0.84489312659556481"/>
          <c:h val="0.5863259673186012"/>
        </c:manualLayout>
      </c:layout>
      <c:scatterChart>
        <c:scatterStyle val="lineMarker"/>
        <c:varyColors val="0"/>
        <c:ser>
          <c:idx val="0"/>
          <c:order val="0"/>
          <c:tx>
            <c:v>λ = 0.7</c:v>
          </c:tx>
          <c:xVal>
            <c:numRef>
              <c:f>Surface_plots!$A$70:$A$80</c:f>
              <c:numCache>
                <c:formatCode>General</c:formatCode>
                <c:ptCount val="11"/>
                <c:pt idx="0">
                  <c:v>0.1</c:v>
                </c:pt>
                <c:pt idx="1">
                  <c:v>0.14000000000000001</c:v>
                </c:pt>
                <c:pt idx="2">
                  <c:v>0.18</c:v>
                </c:pt>
                <c:pt idx="3">
                  <c:v>0.22</c:v>
                </c:pt>
                <c:pt idx="4">
                  <c:v>0.26</c:v>
                </c:pt>
                <c:pt idx="5">
                  <c:v>0.3</c:v>
                </c:pt>
                <c:pt idx="6">
                  <c:v>0.34</c:v>
                </c:pt>
                <c:pt idx="7">
                  <c:v>0.38</c:v>
                </c:pt>
                <c:pt idx="8">
                  <c:v>0.42</c:v>
                </c:pt>
                <c:pt idx="9">
                  <c:v>0.46</c:v>
                </c:pt>
                <c:pt idx="10">
                  <c:v>0.5</c:v>
                </c:pt>
              </c:numCache>
            </c:numRef>
          </c:xVal>
          <c:yVal>
            <c:numRef>
              <c:f>Surface_plots!$AD$74:$AD$84</c:f>
              <c:numCache>
                <c:formatCode>0.0000</c:formatCode>
                <c:ptCount val="11"/>
                <c:pt idx="0">
                  <c:v>1.7141568660736084</c:v>
                </c:pt>
                <c:pt idx="1">
                  <c:v>1.4234023094177246</c:v>
                </c:pt>
                <c:pt idx="2">
                  <c:v>1.2252802848815918</c:v>
                </c:pt>
                <c:pt idx="3">
                  <c:v>1.0759962797164917</c:v>
                </c:pt>
                <c:pt idx="4">
                  <c:v>0.95576971769332886</c:v>
                </c:pt>
                <c:pt idx="5">
                  <c:v>0.85412222146987915</c:v>
                </c:pt>
                <c:pt idx="6">
                  <c:v>0.76487797498703003</c:v>
                </c:pt>
                <c:pt idx="7">
                  <c:v>0.68410146236419678</c:v>
                </c:pt>
                <c:pt idx="8">
                  <c:v>0.60912638902664185</c:v>
                </c:pt>
                <c:pt idx="9">
                  <c:v>0.53805339336395264</c:v>
                </c:pt>
                <c:pt idx="10">
                  <c:v>0.46946904063224792</c:v>
                </c:pt>
              </c:numCache>
            </c:numRef>
          </c:yVal>
          <c:smooth val="0"/>
        </c:ser>
        <c:ser>
          <c:idx val="1"/>
          <c:order val="1"/>
          <c:tx>
            <c:v>λ = 0.75</c:v>
          </c:tx>
          <c:xVal>
            <c:numRef>
              <c:f>Surface_plots!$A$70:$A$80</c:f>
              <c:numCache>
                <c:formatCode>General</c:formatCode>
                <c:ptCount val="11"/>
                <c:pt idx="0">
                  <c:v>0.1</c:v>
                </c:pt>
                <c:pt idx="1">
                  <c:v>0.14000000000000001</c:v>
                </c:pt>
                <c:pt idx="2">
                  <c:v>0.18</c:v>
                </c:pt>
                <c:pt idx="3">
                  <c:v>0.22</c:v>
                </c:pt>
                <c:pt idx="4">
                  <c:v>0.26</c:v>
                </c:pt>
                <c:pt idx="5">
                  <c:v>0.3</c:v>
                </c:pt>
                <c:pt idx="6">
                  <c:v>0.34</c:v>
                </c:pt>
                <c:pt idx="7">
                  <c:v>0.38</c:v>
                </c:pt>
                <c:pt idx="8">
                  <c:v>0.42</c:v>
                </c:pt>
                <c:pt idx="9">
                  <c:v>0.46</c:v>
                </c:pt>
                <c:pt idx="10">
                  <c:v>0.5</c:v>
                </c:pt>
              </c:numCache>
            </c:numRef>
          </c:xVal>
          <c:yVal>
            <c:numRef>
              <c:f>Surface_plots!$AE$74:$AE$84</c:f>
              <c:numCache>
                <c:formatCode>0.0000</c:formatCode>
                <c:ptCount val="11"/>
                <c:pt idx="0">
                  <c:v>1.4384207725524902</c:v>
                </c:pt>
                <c:pt idx="1">
                  <c:v>1.1944364309310913</c:v>
                </c:pt>
                <c:pt idx="2">
                  <c:v>1.0281839370727539</c:v>
                </c:pt>
                <c:pt idx="3">
                  <c:v>0.90291345119476318</c:v>
                </c:pt>
                <c:pt idx="4">
                  <c:v>0.80202633142471313</c:v>
                </c:pt>
                <c:pt idx="5">
                  <c:v>0.71672970056533813</c:v>
                </c:pt>
                <c:pt idx="6">
                  <c:v>0.64184111356735229</c:v>
                </c:pt>
                <c:pt idx="7">
                  <c:v>0.5740581750869751</c:v>
                </c:pt>
                <c:pt idx="8">
                  <c:v>0.51114344596862793</c:v>
                </c:pt>
                <c:pt idx="9">
                  <c:v>0.45150312781333923</c:v>
                </c:pt>
                <c:pt idx="10">
                  <c:v>0.39395111799240112</c:v>
                </c:pt>
              </c:numCache>
            </c:numRef>
          </c:yVal>
          <c:smooth val="0"/>
        </c:ser>
        <c:ser>
          <c:idx val="2"/>
          <c:order val="2"/>
          <c:tx>
            <c:v>λ = 0.8</c:v>
          </c:tx>
          <c:xVal>
            <c:numRef>
              <c:f>Surface_plots!$A$70:$A$80</c:f>
              <c:numCache>
                <c:formatCode>General</c:formatCode>
                <c:ptCount val="11"/>
                <c:pt idx="0">
                  <c:v>0.1</c:v>
                </c:pt>
                <c:pt idx="1">
                  <c:v>0.14000000000000001</c:v>
                </c:pt>
                <c:pt idx="2">
                  <c:v>0.18</c:v>
                </c:pt>
                <c:pt idx="3">
                  <c:v>0.22</c:v>
                </c:pt>
                <c:pt idx="4">
                  <c:v>0.26</c:v>
                </c:pt>
                <c:pt idx="5">
                  <c:v>0.3</c:v>
                </c:pt>
                <c:pt idx="6">
                  <c:v>0.34</c:v>
                </c:pt>
                <c:pt idx="7">
                  <c:v>0.38</c:v>
                </c:pt>
                <c:pt idx="8">
                  <c:v>0.42</c:v>
                </c:pt>
                <c:pt idx="9">
                  <c:v>0.46</c:v>
                </c:pt>
                <c:pt idx="10">
                  <c:v>0.5</c:v>
                </c:pt>
              </c:numCache>
            </c:numRef>
          </c:xVal>
          <c:yVal>
            <c:numRef>
              <c:f>Surface_plots!$AF$74:$AF$84</c:f>
              <c:numCache>
                <c:formatCode>0.0000</c:formatCode>
                <c:ptCount val="11"/>
                <c:pt idx="0">
                  <c:v>1.2326000928878784</c:v>
                </c:pt>
                <c:pt idx="1">
                  <c:v>1.0235269069671631</c:v>
                </c:pt>
                <c:pt idx="2">
                  <c:v>0.88106322288513184</c:v>
                </c:pt>
                <c:pt idx="3">
                  <c:v>0.77371746301651001</c:v>
                </c:pt>
                <c:pt idx="4">
                  <c:v>0.68726605176925659</c:v>
                </c:pt>
                <c:pt idx="5">
                  <c:v>0.61417436599731445</c:v>
                </c:pt>
                <c:pt idx="6">
                  <c:v>0.55000138282775879</c:v>
                </c:pt>
                <c:pt idx="7">
                  <c:v>0.49191734194755554</c:v>
                </c:pt>
                <c:pt idx="8">
                  <c:v>0.43800497055053711</c:v>
                </c:pt>
                <c:pt idx="9">
                  <c:v>0.38689848780632019</c:v>
                </c:pt>
                <c:pt idx="10">
                  <c:v>0.33758145570755005</c:v>
                </c:pt>
              </c:numCache>
            </c:numRef>
          </c:yVal>
          <c:smooth val="0"/>
        </c:ser>
        <c:ser>
          <c:idx val="3"/>
          <c:order val="3"/>
          <c:tx>
            <c:v>λ = 0.85</c:v>
          </c:tx>
          <c:xVal>
            <c:numRef>
              <c:f>Surface_plots!$A$70:$A$80</c:f>
              <c:numCache>
                <c:formatCode>General</c:formatCode>
                <c:ptCount val="11"/>
                <c:pt idx="0">
                  <c:v>0.1</c:v>
                </c:pt>
                <c:pt idx="1">
                  <c:v>0.14000000000000001</c:v>
                </c:pt>
                <c:pt idx="2">
                  <c:v>0.18</c:v>
                </c:pt>
                <c:pt idx="3">
                  <c:v>0.22</c:v>
                </c:pt>
                <c:pt idx="4">
                  <c:v>0.26</c:v>
                </c:pt>
                <c:pt idx="5">
                  <c:v>0.3</c:v>
                </c:pt>
                <c:pt idx="6">
                  <c:v>0.34</c:v>
                </c:pt>
                <c:pt idx="7">
                  <c:v>0.38</c:v>
                </c:pt>
                <c:pt idx="8">
                  <c:v>0.42</c:v>
                </c:pt>
                <c:pt idx="9">
                  <c:v>0.46</c:v>
                </c:pt>
                <c:pt idx="10">
                  <c:v>0.5</c:v>
                </c:pt>
              </c:numCache>
            </c:numRef>
          </c:xVal>
          <c:yVal>
            <c:numRef>
              <c:f>Surface_plots!$AG$74:$AG$84</c:f>
              <c:numCache>
                <c:formatCode>0.0000</c:formatCode>
                <c:ptCount val="11"/>
                <c:pt idx="0">
                  <c:v>1.0761966705322266</c:v>
                </c:pt>
                <c:pt idx="1">
                  <c:v>0.89365261793136597</c:v>
                </c:pt>
                <c:pt idx="2">
                  <c:v>0.76926594972610474</c:v>
                </c:pt>
                <c:pt idx="3">
                  <c:v>0.67554116249084473</c:v>
                </c:pt>
                <c:pt idx="4">
                  <c:v>0.60005950927734375</c:v>
                </c:pt>
                <c:pt idx="5">
                  <c:v>0.53624236583709717</c:v>
                </c:pt>
                <c:pt idx="6">
                  <c:v>0.48021224141120911</c:v>
                </c:pt>
                <c:pt idx="7">
                  <c:v>0.42949843406677246</c:v>
                </c:pt>
                <c:pt idx="8">
                  <c:v>0.38242694735527039</c:v>
                </c:pt>
                <c:pt idx="9">
                  <c:v>0.33780530095100403</c:v>
                </c:pt>
                <c:pt idx="10">
                  <c:v>0.29474607110023499</c:v>
                </c:pt>
              </c:numCache>
            </c:numRef>
          </c:yVal>
          <c:smooth val="0"/>
        </c:ser>
        <c:ser>
          <c:idx val="4"/>
          <c:order val="4"/>
          <c:tx>
            <c:v>λ = 0.9</c:v>
          </c:tx>
          <c:xVal>
            <c:numRef>
              <c:f>Surface_plots!$A$70:$A$80</c:f>
              <c:numCache>
                <c:formatCode>General</c:formatCode>
                <c:ptCount val="11"/>
                <c:pt idx="0">
                  <c:v>0.1</c:v>
                </c:pt>
                <c:pt idx="1">
                  <c:v>0.14000000000000001</c:v>
                </c:pt>
                <c:pt idx="2">
                  <c:v>0.18</c:v>
                </c:pt>
                <c:pt idx="3">
                  <c:v>0.22</c:v>
                </c:pt>
                <c:pt idx="4">
                  <c:v>0.26</c:v>
                </c:pt>
                <c:pt idx="5">
                  <c:v>0.3</c:v>
                </c:pt>
                <c:pt idx="6">
                  <c:v>0.34</c:v>
                </c:pt>
                <c:pt idx="7">
                  <c:v>0.38</c:v>
                </c:pt>
                <c:pt idx="8">
                  <c:v>0.42</c:v>
                </c:pt>
                <c:pt idx="9">
                  <c:v>0.46</c:v>
                </c:pt>
                <c:pt idx="10">
                  <c:v>0.5</c:v>
                </c:pt>
              </c:numCache>
            </c:numRef>
          </c:xVal>
          <c:yVal>
            <c:numRef>
              <c:f>Surface_plots!$AH$74:$AH$84</c:f>
              <c:numCache>
                <c:formatCode>0.0000</c:formatCode>
                <c:ptCount val="11"/>
                <c:pt idx="0">
                  <c:v>0.95567357540130615</c:v>
                </c:pt>
                <c:pt idx="1">
                  <c:v>0.79357260465621948</c:v>
                </c:pt>
                <c:pt idx="2">
                  <c:v>0.68311601877212524</c:v>
                </c:pt>
                <c:pt idx="3">
                  <c:v>0.5998874306678772</c:v>
                </c:pt>
                <c:pt idx="4">
                  <c:v>0.53285896778106689</c:v>
                </c:pt>
                <c:pt idx="5">
                  <c:v>0.47618865966796875</c:v>
                </c:pt>
                <c:pt idx="6">
                  <c:v>0.42643338441848755</c:v>
                </c:pt>
                <c:pt idx="7">
                  <c:v>0.38139897584915161</c:v>
                </c:pt>
                <c:pt idx="8">
                  <c:v>0.33959901332855225</c:v>
                </c:pt>
                <c:pt idx="9">
                  <c:v>0.29997456073760986</c:v>
                </c:pt>
                <c:pt idx="10">
                  <c:v>0.26173752546310425</c:v>
                </c:pt>
              </c:numCache>
            </c:numRef>
          </c:yVal>
          <c:smooth val="0"/>
        </c:ser>
        <c:ser>
          <c:idx val="5"/>
          <c:order val="5"/>
          <c:tx>
            <c:v>λ = 0.95</c:v>
          </c:tx>
          <c:xVal>
            <c:numRef>
              <c:f>Surface_plots!$A$70:$A$80</c:f>
              <c:numCache>
                <c:formatCode>General</c:formatCode>
                <c:ptCount val="11"/>
                <c:pt idx="0">
                  <c:v>0.1</c:v>
                </c:pt>
                <c:pt idx="1">
                  <c:v>0.14000000000000001</c:v>
                </c:pt>
                <c:pt idx="2">
                  <c:v>0.18</c:v>
                </c:pt>
                <c:pt idx="3">
                  <c:v>0.22</c:v>
                </c:pt>
                <c:pt idx="4">
                  <c:v>0.26</c:v>
                </c:pt>
                <c:pt idx="5">
                  <c:v>0.3</c:v>
                </c:pt>
                <c:pt idx="6">
                  <c:v>0.34</c:v>
                </c:pt>
                <c:pt idx="7">
                  <c:v>0.38</c:v>
                </c:pt>
                <c:pt idx="8">
                  <c:v>0.42</c:v>
                </c:pt>
                <c:pt idx="9">
                  <c:v>0.46</c:v>
                </c:pt>
                <c:pt idx="10">
                  <c:v>0.5</c:v>
                </c:pt>
              </c:numCache>
            </c:numRef>
          </c:xVal>
          <c:yVal>
            <c:numRef>
              <c:f>Surface_plots!$AI$74:$AI$84</c:f>
              <c:numCache>
                <c:formatCode>0.0000</c:formatCode>
                <c:ptCount val="11"/>
                <c:pt idx="0">
                  <c:v>0.86185544729232788</c:v>
                </c:pt>
                <c:pt idx="1">
                  <c:v>0.71566784381866455</c:v>
                </c:pt>
                <c:pt idx="2">
                  <c:v>0.61605477333068848</c:v>
                </c:pt>
                <c:pt idx="3">
                  <c:v>0.54099667072296143</c:v>
                </c:pt>
                <c:pt idx="4">
                  <c:v>0.48054838180541992</c:v>
                </c:pt>
                <c:pt idx="5">
                  <c:v>0.42944139242172241</c:v>
                </c:pt>
                <c:pt idx="6">
                  <c:v>0.38457053899765015</c:v>
                </c:pt>
                <c:pt idx="7">
                  <c:v>0.34395718574523926</c:v>
                </c:pt>
                <c:pt idx="8">
                  <c:v>0.30626070499420166</c:v>
                </c:pt>
                <c:pt idx="9">
                  <c:v>0.27052614092826843</c:v>
                </c:pt>
                <c:pt idx="10">
                  <c:v>0.23604282736778259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1789504"/>
        <c:axId val="91790080"/>
      </c:scatterChart>
      <c:valAx>
        <c:axId val="917895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 (</a:t>
                </a:r>
                <a:r>
                  <a:rPr lang="el-GR" sz="1000" b="1" i="0" u="none" strike="noStrike" baseline="0">
                    <a:solidFill>
                      <a:srgbClr val="000000"/>
                    </a:solidFill>
                    <a:latin typeface="Times New Roman"/>
                    <a:cs typeface="Times New Roman"/>
                  </a:rPr>
                  <a:t>η</a:t>
                </a:r>
                <a:r>
                  <a:rPr lang="en-CA" sz="1000" b="1" i="0" u="none" strike="noStrike" baseline="0">
                    <a:solidFill>
                      <a:srgbClr val="000000"/>
                    </a:solidFill>
                    <a:latin typeface="Calibri"/>
                    <a:cs typeface="Calibri"/>
                  </a:rPr>
                  <a:t>)</a:t>
                </a:r>
                <a:endParaRPr lang="en-CA"/>
              </a:p>
            </c:rich>
          </c:tx>
          <c:layout>
            <c:manualLayout>
              <c:xMode val="edge"/>
              <c:yMode val="edge"/>
              <c:x val="0.92710766107066822"/>
              <c:y val="0.9173976801286936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1790080"/>
        <c:crosses val="autoZero"/>
        <c:crossBetween val="midCat"/>
      </c:valAx>
      <c:valAx>
        <c:axId val="91790080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defRPr>
                </a:pPr>
                <a:r>
                  <a:rPr lang="en-CA"/>
                  <a:t>tensile strain capacity in     ( % )</a:t>
                </a:r>
              </a:p>
            </c:rich>
          </c:tx>
          <c:layout>
            <c:manualLayout>
              <c:xMode val="edge"/>
              <c:yMode val="edge"/>
              <c:x val="3.1483682464220279E-2"/>
              <c:y val="4.409889086444839E-2"/>
            </c:manualLayout>
          </c:layout>
          <c:overlay val="0"/>
        </c:title>
        <c:numFmt formatCode="0.00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91789504"/>
        <c:crosses val="autoZero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76794006267044634"/>
          <c:y val="7.4699533255542586E-2"/>
          <c:w val="0.19644114411441144"/>
          <c:h val="0.44662193698949826"/>
        </c:manualLayout>
      </c:layout>
      <c:overlay val="1"/>
    </c:legend>
    <c:plotVisOnly val="1"/>
    <c:dispBlanksAs val="gap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454396325459317"/>
          <c:y val="0.21406967626302228"/>
          <c:w val="0.69990048118985126"/>
          <c:h val="0.57177899099715246"/>
        </c:manualLayout>
      </c:layout>
      <c:scatterChart>
        <c:scatterStyle val="smoothMarker"/>
        <c:varyColors val="0"/>
        <c:ser>
          <c:idx val="0"/>
          <c:order val="0"/>
          <c:tx>
            <c:v>ξ = 2</c:v>
          </c:tx>
          <c:xVal>
            <c:numRef>
              <c:f>Surface_plots!$AC$88:$AC$92</c:f>
              <c:numCache>
                <c:formatCode>General</c:formatCode>
                <c:ptCount val="5"/>
                <c:pt idx="0">
                  <c:v>7</c:v>
                </c:pt>
                <c:pt idx="1">
                  <c:v>14</c:v>
                </c:pt>
                <c:pt idx="2">
                  <c:v>21</c:v>
                </c:pt>
                <c:pt idx="3">
                  <c:v>29</c:v>
                </c:pt>
                <c:pt idx="4">
                  <c:v>36</c:v>
                </c:pt>
              </c:numCache>
            </c:numRef>
          </c:xVal>
          <c:yVal>
            <c:numRef>
              <c:f>Surface_plots!$AD$88:$AD$92</c:f>
              <c:numCache>
                <c:formatCode>General</c:formatCode>
                <c:ptCount val="5"/>
                <c:pt idx="0">
                  <c:v>16</c:v>
                </c:pt>
                <c:pt idx="1">
                  <c:v>28</c:v>
                </c:pt>
                <c:pt idx="2">
                  <c:v>38</c:v>
                </c:pt>
                <c:pt idx="3">
                  <c:v>45</c:v>
                </c:pt>
                <c:pt idx="4">
                  <c:v>50</c:v>
                </c:pt>
              </c:numCache>
            </c:numRef>
          </c:yVal>
          <c:smooth val="1"/>
        </c:ser>
        <c:ser>
          <c:idx val="1"/>
          <c:order val="1"/>
          <c:tx>
            <c:v>ξ = 5</c:v>
          </c:tx>
          <c:xVal>
            <c:numRef>
              <c:f>Surface_plots!$AC$88:$AC$92</c:f>
              <c:numCache>
                <c:formatCode>General</c:formatCode>
                <c:ptCount val="5"/>
                <c:pt idx="0">
                  <c:v>7</c:v>
                </c:pt>
                <c:pt idx="1">
                  <c:v>14</c:v>
                </c:pt>
                <c:pt idx="2">
                  <c:v>21</c:v>
                </c:pt>
                <c:pt idx="3">
                  <c:v>29</c:v>
                </c:pt>
                <c:pt idx="4">
                  <c:v>36</c:v>
                </c:pt>
              </c:numCache>
            </c:numRef>
          </c:xVal>
          <c:yVal>
            <c:numRef>
              <c:f>Surface_plots!$AE$88:$AE$92</c:f>
              <c:numCache>
                <c:formatCode>General</c:formatCode>
                <c:ptCount val="5"/>
                <c:pt idx="0">
                  <c:v>16</c:v>
                </c:pt>
                <c:pt idx="1">
                  <c:v>28</c:v>
                </c:pt>
                <c:pt idx="2">
                  <c:v>37</c:v>
                </c:pt>
                <c:pt idx="3">
                  <c:v>44</c:v>
                </c:pt>
                <c:pt idx="4">
                  <c:v>50</c:v>
                </c:pt>
              </c:numCache>
            </c:numRef>
          </c:yVal>
          <c:smooth val="1"/>
        </c:ser>
        <c:ser>
          <c:idx val="2"/>
          <c:order val="2"/>
          <c:tx>
            <c:v>ξ = 8</c:v>
          </c:tx>
          <c:spPr>
            <a:ln>
              <a:solidFill>
                <a:schemeClr val="accent3">
                  <a:lumMod val="50000"/>
                </a:schemeClr>
              </a:solidFill>
            </a:ln>
          </c:spPr>
          <c:xVal>
            <c:numRef>
              <c:f>Surface_plots!$AC$88:$AC$92</c:f>
              <c:numCache>
                <c:formatCode>General</c:formatCode>
                <c:ptCount val="5"/>
                <c:pt idx="0">
                  <c:v>7</c:v>
                </c:pt>
                <c:pt idx="1">
                  <c:v>14</c:v>
                </c:pt>
                <c:pt idx="2">
                  <c:v>21</c:v>
                </c:pt>
                <c:pt idx="3">
                  <c:v>29</c:v>
                </c:pt>
                <c:pt idx="4">
                  <c:v>36</c:v>
                </c:pt>
              </c:numCache>
            </c:numRef>
          </c:xVal>
          <c:yVal>
            <c:numRef>
              <c:f>Surface_plots!$AF$88:$AF$92</c:f>
              <c:numCache>
                <c:formatCode>General</c:formatCode>
                <c:ptCount val="5"/>
                <c:pt idx="0">
                  <c:v>16</c:v>
                </c:pt>
                <c:pt idx="1">
                  <c:v>28</c:v>
                </c:pt>
                <c:pt idx="2">
                  <c:v>37</c:v>
                </c:pt>
                <c:pt idx="3">
                  <c:v>44</c:v>
                </c:pt>
                <c:pt idx="4">
                  <c:v>50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1595584"/>
        <c:axId val="121596160"/>
      </c:scatterChart>
      <c:valAx>
        <c:axId val="12159558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Change</a:t>
                </a:r>
                <a:r>
                  <a:rPr lang="en-CA" baseline="0"/>
                  <a:t> of </a:t>
                </a:r>
                <a:r>
                  <a:rPr lang="el-GR" baseline="0"/>
                  <a:t>λ</a:t>
                </a:r>
                <a:r>
                  <a:rPr lang="en-CA" baseline="0"/>
                  <a:t> in (%)</a:t>
                </a:r>
                <a:endParaRPr lang="en-CA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1596160"/>
        <c:crosses val="autoZero"/>
        <c:crossBetween val="midCat"/>
      </c:valAx>
      <c:valAx>
        <c:axId val="121596160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/>
                  <a:t>Change</a:t>
                </a:r>
                <a:r>
                  <a:rPr lang="en-CA" baseline="0"/>
                  <a:t> of tensile strain capacity in (%)</a:t>
                </a:r>
                <a:endParaRPr lang="en-CA"/>
              </a:p>
            </c:rich>
          </c:tx>
          <c:layout>
            <c:manualLayout>
              <c:xMode val="edge"/>
              <c:yMode val="edge"/>
              <c:x val="2.2222222222222223E-2"/>
              <c:y val="3.1106106253648001E-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1595584"/>
        <c:crosses val="autoZero"/>
        <c:crossBetween val="midCat"/>
        <c:majorUnit val="20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3307961504811895E-2"/>
          <c:y val="0.16271505505790235"/>
          <c:w val="0.76677537182852151"/>
          <c:h val="0.70489193198676248"/>
        </c:manualLayout>
      </c:layout>
      <c:lineChart>
        <c:grouping val="standard"/>
        <c:varyColors val="0"/>
        <c:ser>
          <c:idx val="1"/>
          <c:order val="0"/>
          <c:tx>
            <c:strRef>
              <c:f>Avg_StDev_SurfaceDefect!$B$4</c:f>
              <c:strCache>
                <c:ptCount val="1"/>
                <c:pt idx="0">
                  <c:v>δ</c:v>
                </c:pt>
              </c:strCache>
            </c:strRef>
          </c:tx>
          <c:errBars>
            <c:errDir val="y"/>
            <c:errBarType val="both"/>
            <c:errValType val="cust"/>
            <c:noEndCap val="0"/>
            <c:plus>
              <c:numRef>
                <c:f>Avg_StDev_SurfaceDefect!$B$8:$D$8</c:f>
                <c:numCache>
                  <c:formatCode>General</c:formatCode>
                  <c:ptCount val="3"/>
                  <c:pt idx="0">
                    <c:v>0.32631984353065491</c:v>
                  </c:pt>
                  <c:pt idx="1">
                    <c:v>0.78093487024307251</c:v>
                  </c:pt>
                  <c:pt idx="2">
                    <c:v>1.3024405241012573</c:v>
                  </c:pt>
                </c:numCache>
              </c:numRef>
            </c:plus>
            <c:minus>
              <c:numRef>
                <c:f>Avg_StDev_SurfaceDefect!$B$8:$D$8</c:f>
                <c:numCache>
                  <c:formatCode>General</c:formatCode>
                  <c:ptCount val="3"/>
                  <c:pt idx="0">
                    <c:v>0.32631984353065491</c:v>
                  </c:pt>
                  <c:pt idx="1">
                    <c:v>0.78093487024307251</c:v>
                  </c:pt>
                  <c:pt idx="2">
                    <c:v>1.3024405241012573</c:v>
                  </c:pt>
                </c:numCache>
              </c:numRef>
            </c:minus>
            <c:spPr>
              <a:ln w="127000">
                <a:solidFill>
                  <a:schemeClr val="accent2"/>
                </a:solidFill>
              </a:ln>
            </c:spPr>
          </c:errBars>
          <c:cat>
            <c:numRef>
              <c:f>Avg_StDev_SurfaceDefect!$R$6:$T$6</c:f>
              <c:numCache>
                <c:formatCode>General</c:formatCode>
                <c:ptCount val="3"/>
                <c:pt idx="0">
                  <c:v>-1</c:v>
                </c:pt>
                <c:pt idx="1">
                  <c:v>0</c:v>
                </c:pt>
                <c:pt idx="2">
                  <c:v>1</c:v>
                </c:pt>
              </c:numCache>
            </c:numRef>
          </c:cat>
          <c:val>
            <c:numRef>
              <c:f>Avg_StDev_SurfaceDefect!$R$7:$T$7</c:f>
              <c:numCache>
                <c:formatCode>General</c:formatCode>
                <c:ptCount val="3"/>
                <c:pt idx="0">
                  <c:v>0.56822151607937288</c:v>
                </c:pt>
                <c:pt idx="1">
                  <c:v>1.1411389978947464</c:v>
                </c:pt>
                <c:pt idx="2">
                  <c:v>1.7294262305453971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Avg_StDev_SurfaceDefect!$E$4</c:f>
              <c:strCache>
                <c:ptCount val="1"/>
                <c:pt idx="0">
                  <c:v>η</c:v>
                </c:pt>
              </c:strCache>
            </c:strRef>
          </c:tx>
          <c:errBars>
            <c:errDir val="y"/>
            <c:errBarType val="both"/>
            <c:errValType val="cust"/>
            <c:noEndCap val="0"/>
            <c:plus>
              <c:numRef>
                <c:f>Avg_StDev_SurfaceDefect!$E$8:$G$8</c:f>
                <c:numCache>
                  <c:formatCode>General</c:formatCode>
                  <c:ptCount val="3"/>
                  <c:pt idx="0">
                    <c:v>1.227972149848938</c:v>
                  </c:pt>
                  <c:pt idx="1">
                    <c:v>0.79041087627410889</c:v>
                  </c:pt>
                  <c:pt idx="2">
                    <c:v>0.56609439849853516</c:v>
                  </c:pt>
                </c:numCache>
              </c:numRef>
            </c:plus>
            <c:minus>
              <c:numRef>
                <c:f>Avg_StDev_SurfaceDefect!$E$8:$G$8</c:f>
                <c:numCache>
                  <c:formatCode>General</c:formatCode>
                  <c:ptCount val="3"/>
                  <c:pt idx="0">
                    <c:v>1.227972149848938</c:v>
                  </c:pt>
                  <c:pt idx="1">
                    <c:v>0.79041087627410889</c:v>
                  </c:pt>
                  <c:pt idx="2">
                    <c:v>0.56609439849853516</c:v>
                  </c:pt>
                </c:numCache>
              </c:numRef>
            </c:minus>
            <c:spPr>
              <a:ln w="31750">
                <a:solidFill>
                  <a:schemeClr val="accent3"/>
                </a:solidFill>
              </a:ln>
            </c:spPr>
          </c:errBars>
          <c:cat>
            <c:numRef>
              <c:f>Avg_StDev_SurfaceDefect!$R$6:$T$6</c:f>
              <c:numCache>
                <c:formatCode>General</c:formatCode>
                <c:ptCount val="3"/>
                <c:pt idx="0">
                  <c:v>-1</c:v>
                </c:pt>
                <c:pt idx="1">
                  <c:v>0</c:v>
                </c:pt>
                <c:pt idx="2">
                  <c:v>1</c:v>
                </c:pt>
              </c:numCache>
            </c:numRef>
          </c:cat>
          <c:val>
            <c:numRef>
              <c:f>Avg_StDev_SurfaceDefect!$R$8:$T$8</c:f>
              <c:numCache>
                <c:formatCode>General</c:formatCode>
                <c:ptCount val="3"/>
                <c:pt idx="0">
                  <c:v>1.745395072080471</c:v>
                </c:pt>
                <c:pt idx="1">
                  <c:v>1.0650588914200112</c:v>
                </c:pt>
                <c:pt idx="2">
                  <c:v>0.62833278101903423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Avg_StDev_SurfaceDefect!$H$4</c:f>
              <c:strCache>
                <c:ptCount val="1"/>
                <c:pt idx="0">
                  <c:v>λ</c:v>
                </c:pt>
              </c:strCache>
            </c:strRef>
          </c:tx>
          <c:errBars>
            <c:errDir val="y"/>
            <c:errBarType val="both"/>
            <c:errValType val="cust"/>
            <c:noEndCap val="0"/>
            <c:plus>
              <c:numRef>
                <c:f>Avg_StDev_SurfaceDefect!$H$8:$J$8</c:f>
                <c:numCache>
                  <c:formatCode>General</c:formatCode>
                  <c:ptCount val="3"/>
                  <c:pt idx="0">
                    <c:v>1.3248921632766724</c:v>
                  </c:pt>
                  <c:pt idx="1">
                    <c:v>0.81468832492828369</c:v>
                  </c:pt>
                  <c:pt idx="2">
                    <c:v>0.56251245737075806</c:v>
                  </c:pt>
                </c:numCache>
              </c:numRef>
            </c:plus>
            <c:minus>
              <c:numRef>
                <c:f>Avg_StDev_SurfaceDefect!$H$8:$J$8</c:f>
                <c:numCache>
                  <c:formatCode>General</c:formatCode>
                  <c:ptCount val="3"/>
                  <c:pt idx="0">
                    <c:v>1.3248921632766724</c:v>
                  </c:pt>
                  <c:pt idx="1">
                    <c:v>0.81468832492828369</c:v>
                  </c:pt>
                  <c:pt idx="2">
                    <c:v>0.56251245737075806</c:v>
                  </c:pt>
                </c:numCache>
              </c:numRef>
            </c:minus>
            <c:spPr>
              <a:ln w="190500">
                <a:solidFill>
                  <a:schemeClr val="accent4"/>
                </a:solidFill>
              </a:ln>
            </c:spPr>
          </c:errBars>
          <c:cat>
            <c:numRef>
              <c:f>Avg_StDev_SurfaceDefect!$R$6:$T$6</c:f>
              <c:numCache>
                <c:formatCode>General</c:formatCode>
                <c:ptCount val="3"/>
                <c:pt idx="0">
                  <c:v>-1</c:v>
                </c:pt>
                <c:pt idx="1">
                  <c:v>0</c:v>
                </c:pt>
                <c:pt idx="2">
                  <c:v>1</c:v>
                </c:pt>
              </c:numCache>
            </c:numRef>
          </c:cat>
          <c:val>
            <c:numRef>
              <c:f>Avg_StDev_SurfaceDefect!$R$9:$T$9</c:f>
              <c:numCache>
                <c:formatCode>General</c:formatCode>
                <c:ptCount val="3"/>
                <c:pt idx="0">
                  <c:v>1.6037182057345356</c:v>
                </c:pt>
                <c:pt idx="1">
                  <c:v>1.0545693122678332</c:v>
                </c:pt>
                <c:pt idx="2">
                  <c:v>0.78049922651714754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Avg_StDev_SurfaceDefect!$K$4</c:f>
              <c:strCache>
                <c:ptCount val="1"/>
                <c:pt idx="0">
                  <c:v>ξ</c:v>
                </c:pt>
              </c:strCache>
            </c:strRef>
          </c:tx>
          <c:errBars>
            <c:errDir val="y"/>
            <c:errBarType val="both"/>
            <c:errValType val="cust"/>
            <c:noEndCap val="0"/>
            <c:plus>
              <c:numRef>
                <c:f>Avg_StDev_SurfaceDefect!$K$8:$M$8</c:f>
                <c:numCache>
                  <c:formatCode>General</c:formatCode>
                  <c:ptCount val="3"/>
                  <c:pt idx="0">
                    <c:v>1.2520304918289185</c:v>
                  </c:pt>
                  <c:pt idx="1">
                    <c:v>0.66945558786392212</c:v>
                  </c:pt>
                  <c:pt idx="2">
                    <c:v>0.54661238193511963</c:v>
                  </c:pt>
                </c:numCache>
              </c:numRef>
            </c:plus>
            <c:minus>
              <c:numRef>
                <c:f>Avg_StDev_SurfaceDefect!$K$8:$M$8</c:f>
                <c:numCache>
                  <c:formatCode>General</c:formatCode>
                  <c:ptCount val="3"/>
                  <c:pt idx="0">
                    <c:v>1.2520304918289185</c:v>
                  </c:pt>
                  <c:pt idx="1">
                    <c:v>0.66945558786392212</c:v>
                  </c:pt>
                  <c:pt idx="2">
                    <c:v>0.54661238193511963</c:v>
                  </c:pt>
                </c:numCache>
              </c:numRef>
            </c:minus>
            <c:spPr>
              <a:ln>
                <a:solidFill>
                  <a:schemeClr val="accent5"/>
                </a:solidFill>
              </a:ln>
            </c:spPr>
          </c:errBars>
          <c:cat>
            <c:numRef>
              <c:f>Avg_StDev_SurfaceDefect!$R$6:$T$6</c:f>
              <c:numCache>
                <c:formatCode>General</c:formatCode>
                <c:ptCount val="3"/>
                <c:pt idx="0">
                  <c:v>-1</c:v>
                </c:pt>
                <c:pt idx="1">
                  <c:v>0</c:v>
                </c:pt>
                <c:pt idx="2">
                  <c:v>1</c:v>
                </c:pt>
              </c:numCache>
            </c:numRef>
          </c:cat>
          <c:val>
            <c:numRef>
              <c:f>Avg_StDev_SurfaceDefect!$R$10:$T$10</c:f>
              <c:numCache>
                <c:formatCode>General</c:formatCode>
                <c:ptCount val="3"/>
                <c:pt idx="0">
                  <c:v>1.8490582881150421</c:v>
                </c:pt>
                <c:pt idx="1">
                  <c:v>0.92038942266393586</c:v>
                </c:pt>
                <c:pt idx="2">
                  <c:v>0.66933903374053816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1604480"/>
        <c:axId val="121600768"/>
      </c:lineChart>
      <c:catAx>
        <c:axId val="916044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minimum</a:t>
                </a:r>
                <a:r>
                  <a:rPr lang="en-CA" baseline="0"/>
                  <a:t>, intermediate and maximum values</a:t>
                </a:r>
                <a:endParaRPr lang="en-CA"/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21600768"/>
        <c:crosses val="autoZero"/>
        <c:auto val="1"/>
        <c:lblAlgn val="ctr"/>
        <c:lblOffset val="100"/>
        <c:noMultiLvlLbl val="0"/>
      </c:catAx>
      <c:valAx>
        <c:axId val="121600768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/>
                  <a:t>Average tensile strain capacity in (%)</a:t>
                </a:r>
              </a:p>
            </c:rich>
          </c:tx>
          <c:layout>
            <c:manualLayout>
              <c:xMode val="edge"/>
              <c:yMode val="edge"/>
              <c:x val="2.2222222222222223E-2"/>
              <c:y val="2.0437445319335082E-3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91604480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7397222222222226"/>
          <c:y val="0.34863426071741033"/>
          <c:w val="9.8249999999999948E-2"/>
          <c:h val="0.27954253718285216"/>
        </c:manualLayout>
      </c:layout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7166907261592301"/>
          <c:y val="0.16796501387516827"/>
          <c:w val="0.67416426071741031"/>
          <c:h val="0.71326162254099756"/>
        </c:manualLayout>
      </c:layout>
      <c:lineChart>
        <c:grouping val="standard"/>
        <c:varyColors val="0"/>
        <c:ser>
          <c:idx val="1"/>
          <c:order val="0"/>
          <c:tx>
            <c:strRef>
              <c:f>Avg_StDev_BuriedDefect!$B$4</c:f>
              <c:strCache>
                <c:ptCount val="1"/>
                <c:pt idx="0">
                  <c:v>δ</c:v>
                </c:pt>
              </c:strCache>
            </c:strRef>
          </c:tx>
          <c:cat>
            <c:numRef>
              <c:f>Avg_StDev_BuriedDefect!$X$4:$Z$4</c:f>
              <c:numCache>
                <c:formatCode>General</c:formatCode>
                <c:ptCount val="3"/>
                <c:pt idx="0">
                  <c:v>-1</c:v>
                </c:pt>
                <c:pt idx="1">
                  <c:v>0</c:v>
                </c:pt>
                <c:pt idx="2">
                  <c:v>1</c:v>
                </c:pt>
              </c:numCache>
            </c:numRef>
          </c:cat>
          <c:val>
            <c:numRef>
              <c:f>Avg_StDev_BuriedDefect!$X$5:$Z$5</c:f>
              <c:numCache>
                <c:formatCode>0.0000</c:formatCode>
                <c:ptCount val="3"/>
                <c:pt idx="0">
                  <c:v>1.7185463547216031</c:v>
                </c:pt>
                <c:pt idx="1">
                  <c:v>2.9255961730248399</c:v>
                </c:pt>
                <c:pt idx="2">
                  <c:v>4.0641835566778735</c:v>
                </c:pt>
              </c:numCache>
            </c:numRef>
          </c:val>
          <c:smooth val="0"/>
        </c:ser>
        <c:ser>
          <c:idx val="2"/>
          <c:order val="1"/>
          <c:tx>
            <c:strRef>
              <c:f>Avg_StDev_BuriedDefect!$E$4</c:f>
              <c:strCache>
                <c:ptCount val="1"/>
                <c:pt idx="0">
                  <c:v>η</c:v>
                </c:pt>
              </c:strCache>
            </c:strRef>
          </c:tx>
          <c:cat>
            <c:numRef>
              <c:f>Avg_StDev_BuriedDefect!$X$4:$Z$4</c:f>
              <c:numCache>
                <c:formatCode>General</c:formatCode>
                <c:ptCount val="3"/>
                <c:pt idx="0">
                  <c:v>-1</c:v>
                </c:pt>
                <c:pt idx="1">
                  <c:v>0</c:v>
                </c:pt>
                <c:pt idx="2">
                  <c:v>1</c:v>
                </c:pt>
              </c:numCache>
            </c:numRef>
          </c:cat>
          <c:val>
            <c:numRef>
              <c:f>Avg_StDev_BuriedDefect!$X$6:$Z$6</c:f>
              <c:numCache>
                <c:formatCode>0.0000</c:formatCode>
                <c:ptCount val="3"/>
                <c:pt idx="0">
                  <c:v>6.3003456641617133</c:v>
                </c:pt>
                <c:pt idx="1">
                  <c:v>1.355354430376257</c:v>
                </c:pt>
                <c:pt idx="2">
                  <c:v>1.0526259898863457</c:v>
                </c:pt>
              </c:numCache>
            </c:numRef>
          </c:val>
          <c:smooth val="0"/>
        </c:ser>
        <c:ser>
          <c:idx val="3"/>
          <c:order val="2"/>
          <c:tx>
            <c:strRef>
              <c:f>Avg_StDev_BuriedDefect!$H$4</c:f>
              <c:strCache>
                <c:ptCount val="1"/>
                <c:pt idx="0">
                  <c:v>λ</c:v>
                </c:pt>
              </c:strCache>
            </c:strRef>
          </c:tx>
          <c:cat>
            <c:numRef>
              <c:f>Avg_StDev_BuriedDefect!$X$4:$Z$4</c:f>
              <c:numCache>
                <c:formatCode>General</c:formatCode>
                <c:ptCount val="3"/>
                <c:pt idx="0">
                  <c:v>-1</c:v>
                </c:pt>
                <c:pt idx="1">
                  <c:v>0</c:v>
                </c:pt>
                <c:pt idx="2">
                  <c:v>1</c:v>
                </c:pt>
              </c:numCache>
            </c:numRef>
          </c:cat>
          <c:val>
            <c:numRef>
              <c:f>Avg_StDev_BuriedDefect!$X$7:$Z$7</c:f>
              <c:numCache>
                <c:formatCode>0.0000</c:formatCode>
                <c:ptCount val="3"/>
                <c:pt idx="0">
                  <c:v>4.1617532363276419</c:v>
                </c:pt>
                <c:pt idx="1">
                  <c:v>2.9027753513720302</c:v>
                </c:pt>
                <c:pt idx="2">
                  <c:v>1.6437974967246438</c:v>
                </c:pt>
              </c:numCache>
            </c:numRef>
          </c:val>
          <c:smooth val="0"/>
        </c:ser>
        <c:ser>
          <c:idx val="4"/>
          <c:order val="3"/>
          <c:tx>
            <c:strRef>
              <c:f>Avg_StDev_BuriedDefect!$K$4</c:f>
              <c:strCache>
                <c:ptCount val="1"/>
                <c:pt idx="0">
                  <c:v>ξ</c:v>
                </c:pt>
              </c:strCache>
            </c:strRef>
          </c:tx>
          <c:cat>
            <c:numRef>
              <c:f>Avg_StDev_BuriedDefect!$X$4:$Z$4</c:f>
              <c:numCache>
                <c:formatCode>General</c:formatCode>
                <c:ptCount val="3"/>
                <c:pt idx="0">
                  <c:v>-1</c:v>
                </c:pt>
                <c:pt idx="1">
                  <c:v>0</c:v>
                </c:pt>
                <c:pt idx="2">
                  <c:v>1</c:v>
                </c:pt>
              </c:numCache>
            </c:numRef>
          </c:cat>
          <c:val>
            <c:numRef>
              <c:f>Avg_StDev_BuriedDefect!$X$8:$Z$8</c:f>
              <c:numCache>
                <c:formatCode>0.0000</c:formatCode>
                <c:ptCount val="3"/>
                <c:pt idx="0">
                  <c:v>4.6217689758220324</c:v>
                </c:pt>
                <c:pt idx="1">
                  <c:v>2.2365169119197157</c:v>
                </c:pt>
                <c:pt idx="2">
                  <c:v>1.8500401966825679</c:v>
                </c:pt>
              </c:numCache>
            </c:numRef>
          </c:val>
          <c:smooth val="0"/>
        </c:ser>
        <c:ser>
          <c:idx val="5"/>
          <c:order val="4"/>
          <c:tx>
            <c:strRef>
              <c:f>Avg_StDev_BuriedDefect!$N$4</c:f>
              <c:strCache>
                <c:ptCount val="1"/>
                <c:pt idx="0">
                  <c:v>Ψ</c:v>
                </c:pt>
              </c:strCache>
            </c:strRef>
          </c:tx>
          <c:cat>
            <c:numRef>
              <c:f>Avg_StDev_BuriedDefect!$X$4:$Z$4</c:f>
              <c:numCache>
                <c:formatCode>General</c:formatCode>
                <c:ptCount val="3"/>
                <c:pt idx="0">
                  <c:v>-1</c:v>
                </c:pt>
                <c:pt idx="1">
                  <c:v>0</c:v>
                </c:pt>
                <c:pt idx="2">
                  <c:v>1</c:v>
                </c:pt>
              </c:numCache>
            </c:numRef>
          </c:cat>
          <c:val>
            <c:numRef>
              <c:f>Avg_StDev_BuriedDefect!$X$9:$Z$9</c:f>
              <c:numCache>
                <c:formatCode>0.0000</c:formatCode>
                <c:ptCount val="3"/>
                <c:pt idx="0">
                  <c:v>2.2158552196198777</c:v>
                </c:pt>
                <c:pt idx="1">
                  <c:v>2.1047224364101642</c:v>
                </c:pt>
                <c:pt idx="2">
                  <c:v>4.387748428394274</c:v>
                </c:pt>
              </c:numCache>
            </c:numRef>
          </c:val>
          <c:smooth val="0"/>
        </c:ser>
        <c:ser>
          <c:idx val="6"/>
          <c:order val="5"/>
          <c:tx>
            <c:strRef>
              <c:f>Avg_StDev_BuriedDefect!$Q$4</c:f>
              <c:strCache>
                <c:ptCount val="1"/>
                <c:pt idx="0">
                  <c:v>t</c:v>
                </c:pt>
              </c:strCache>
            </c:strRef>
          </c:tx>
          <c:cat>
            <c:numRef>
              <c:f>Avg_StDev_BuriedDefect!$X$4:$Z$4</c:f>
              <c:numCache>
                <c:formatCode>General</c:formatCode>
                <c:ptCount val="3"/>
                <c:pt idx="0">
                  <c:v>-1</c:v>
                </c:pt>
                <c:pt idx="1">
                  <c:v>0</c:v>
                </c:pt>
                <c:pt idx="2">
                  <c:v>1</c:v>
                </c:pt>
              </c:numCache>
            </c:numRef>
          </c:cat>
          <c:val>
            <c:numRef>
              <c:f>Avg_StDev_BuriedDefect!$X$10:$Z$10</c:f>
              <c:numCache>
                <c:formatCode>0.0000</c:formatCode>
                <c:ptCount val="3"/>
                <c:pt idx="0">
                  <c:v>3.4534764118155334</c:v>
                </c:pt>
                <c:pt idx="1">
                  <c:v>2.7910602232862893</c:v>
                </c:pt>
                <c:pt idx="2">
                  <c:v>2.4637894493224937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356864"/>
        <c:axId val="80299136"/>
      </c:lineChart>
      <c:catAx>
        <c:axId val="803568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minimum,</a:t>
                </a:r>
                <a:r>
                  <a:rPr lang="en-CA" baseline="0"/>
                  <a:t> intermediate and maximum values</a:t>
                </a:r>
                <a:endParaRPr lang="en-CA"/>
              </a:p>
            </c:rich>
          </c:tx>
          <c:overlay val="0"/>
        </c:title>
        <c:numFmt formatCode="General" sourceLinked="1"/>
        <c:majorTickMark val="out"/>
        <c:minorTickMark val="out"/>
        <c:tickLblPos val="nextTo"/>
        <c:crossAx val="80299136"/>
        <c:crosses val="autoZero"/>
        <c:auto val="1"/>
        <c:lblAlgn val="ctr"/>
        <c:lblOffset val="100"/>
        <c:noMultiLvlLbl val="0"/>
      </c:catAx>
      <c:valAx>
        <c:axId val="80299136"/>
        <c:scaling>
          <c:orientation val="minMax"/>
        </c:scaling>
        <c:delete val="0"/>
        <c:axPos val="l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/>
                  <a:t>Average</a:t>
                </a:r>
                <a:r>
                  <a:rPr lang="en-CA" baseline="0"/>
                  <a:t> tensile strain capacity in (%)</a:t>
                </a:r>
                <a:endParaRPr lang="en-CA"/>
              </a:p>
            </c:rich>
          </c:tx>
          <c:layout>
            <c:manualLayout>
              <c:xMode val="edge"/>
              <c:yMode val="edge"/>
              <c:x val="6.3888888888888884E-2"/>
              <c:y val="5.6381511633079766E-3"/>
            </c:manualLayout>
          </c:layout>
          <c:overlay val="0"/>
        </c:title>
        <c:numFmt formatCode="0.00" sourceLinked="0"/>
        <c:majorTickMark val="out"/>
        <c:minorTickMark val="none"/>
        <c:tickLblPos val="nextTo"/>
        <c:crossAx val="80356864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 sz="1200">
                <a:latin typeface="Times New Roman"/>
                <a:cs typeface="Times New Roman"/>
              </a:rPr>
              <a:t>λ = 0.8</a:t>
            </a:r>
          </a:p>
          <a:p>
            <a:pPr>
              <a:defRPr/>
            </a:pPr>
            <a:r>
              <a:rPr lang="en-CA" sz="1200">
                <a:latin typeface="Times New Roman"/>
                <a:cs typeface="Times New Roman"/>
              </a:rPr>
              <a:t>δ = 0.2</a:t>
            </a:r>
          </a:p>
        </c:rich>
      </c:tx>
      <c:layout>
        <c:manualLayout>
          <c:xMode val="edge"/>
          <c:yMode val="edge"/>
          <c:x val="0.74833850815966618"/>
          <c:y val="5.5555555555555552E-2"/>
        </c:manualLayout>
      </c:layout>
      <c:overlay val="0"/>
    </c:title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5942022172601556E-2"/>
          <c:y val="5.1400554097404488E-2"/>
          <c:w val="0.6376642903864147"/>
          <c:h val="0.73444808982210552"/>
        </c:manualLayout>
      </c:layout>
      <c:surface3DChart>
        <c:wireframe val="0"/>
        <c:ser>
          <c:idx val="0"/>
          <c:order val="0"/>
          <c:tx>
            <c:strRef>
              <c:f>SecGen!$A$66</c:f>
              <c:strCache>
                <c:ptCount val="1"/>
                <c:pt idx="0">
                  <c:v>0.5</c:v>
                </c:pt>
              </c:strCache>
            </c:strRef>
          </c:tx>
          <c:cat>
            <c:strRef>
              <c:f>SecGen!$B$64:$K$65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SecGen!$B$66:$K$66</c:f>
              <c:numCache>
                <c:formatCode>General</c:formatCode>
                <c:ptCount val="10"/>
                <c:pt idx="0">
                  <c:v>0.95761658158153296</c:v>
                </c:pt>
                <c:pt idx="1">
                  <c:v>0.74924274813383818</c:v>
                </c:pt>
                <c:pt idx="2">
                  <c:v>0.59757046401500702</c:v>
                </c:pt>
                <c:pt idx="3">
                  <c:v>0.53057502955198288</c:v>
                </c:pt>
                <c:pt idx="4">
                  <c:v>0.48277747118845582</c:v>
                </c:pt>
                <c:pt idx="5">
                  <c:v>0.43922555632889271</c:v>
                </c:pt>
                <c:pt idx="6">
                  <c:v>0.39601628668606281</c:v>
                </c:pt>
                <c:pt idx="7">
                  <c:v>0.35271275555714965</c:v>
                </c:pt>
                <c:pt idx="8">
                  <c:v>0.31006269855424762</c:v>
                </c:pt>
                <c:pt idx="9">
                  <c:v>0.26910199667327106</c:v>
                </c:pt>
              </c:numCache>
            </c:numRef>
          </c:val>
        </c:ser>
        <c:ser>
          <c:idx val="1"/>
          <c:order val="1"/>
          <c:tx>
            <c:strRef>
              <c:f>SecGen!$A$67</c:f>
              <c:strCache>
                <c:ptCount val="1"/>
                <c:pt idx="0">
                  <c:v>0.46</c:v>
                </c:pt>
              </c:strCache>
            </c:strRef>
          </c:tx>
          <c:cat>
            <c:strRef>
              <c:f>SecGen!$B$64:$K$65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SecGen!$B$67:$K$67</c:f>
              <c:numCache>
                <c:formatCode>General</c:formatCode>
                <c:ptCount val="10"/>
                <c:pt idx="0">
                  <c:v>0.99476161412894726</c:v>
                </c:pt>
                <c:pt idx="1">
                  <c:v>0.77349620405584574</c:v>
                </c:pt>
                <c:pt idx="2">
                  <c:v>0.61148637905716896</c:v>
                </c:pt>
                <c:pt idx="3">
                  <c:v>0.54103861330077052</c:v>
                </c:pt>
                <c:pt idx="4">
                  <c:v>0.4931612522341311</c:v>
                </c:pt>
                <c:pt idx="5">
                  <c:v>0.45162305468693376</c:v>
                </c:pt>
                <c:pt idx="6">
                  <c:v>0.411608861759305</c:v>
                </c:pt>
                <c:pt idx="7">
                  <c:v>0.37191356532275677</c:v>
                </c:pt>
                <c:pt idx="8">
                  <c:v>0.33267089165747166</c:v>
                </c:pt>
                <c:pt idx="9">
                  <c:v>0.29448716668412089</c:v>
                </c:pt>
              </c:numCache>
            </c:numRef>
          </c:val>
        </c:ser>
        <c:ser>
          <c:idx val="2"/>
          <c:order val="2"/>
          <c:tx>
            <c:strRef>
              <c:f>SecGen!$A$68</c:f>
              <c:strCache>
                <c:ptCount val="1"/>
                <c:pt idx="0">
                  <c:v>0.42</c:v>
                </c:pt>
              </c:strCache>
            </c:strRef>
          </c:tx>
          <c:cat>
            <c:strRef>
              <c:f>SecGen!$B$64:$K$65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SecGen!$B$68:$K$68</c:f>
              <c:numCache>
                <c:formatCode>General</c:formatCode>
                <c:ptCount val="10"/>
                <c:pt idx="0">
                  <c:v>1.0376973543316126</c:v>
                </c:pt>
                <c:pt idx="1">
                  <c:v>0.80217118375003338</c:v>
                </c:pt>
                <c:pt idx="2">
                  <c:v>0.62857477460056543</c:v>
                </c:pt>
                <c:pt idx="3">
                  <c:v>0.55373744107782841</c:v>
                </c:pt>
                <c:pt idx="4">
                  <c:v>0.50480637000873685</c:v>
                </c:pt>
                <c:pt idx="5">
                  <c:v>0.46431433875113726</c:v>
                </c:pt>
                <c:pt idx="6">
                  <c:v>0.42667383095249534</c:v>
                </c:pt>
                <c:pt idx="7">
                  <c:v>0.39004501886665821</c:v>
                </c:pt>
                <c:pt idx="8">
                  <c:v>0.35402714274823666</c:v>
                </c:pt>
                <c:pt idx="9">
                  <c:v>0.31880690949037671</c:v>
                </c:pt>
              </c:numCache>
            </c:numRef>
          </c:val>
        </c:ser>
        <c:ser>
          <c:idx val="3"/>
          <c:order val="3"/>
          <c:tx>
            <c:strRef>
              <c:f>SecGen!$A$69</c:f>
              <c:strCache>
                <c:ptCount val="1"/>
                <c:pt idx="0">
                  <c:v>0.38</c:v>
                </c:pt>
              </c:strCache>
            </c:strRef>
          </c:tx>
          <c:cat>
            <c:strRef>
              <c:f>SecGen!$B$64:$K$65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SecGen!$B$69:$K$69</c:f>
              <c:numCache>
                <c:formatCode>General</c:formatCode>
                <c:ptCount val="10"/>
                <c:pt idx="0">
                  <c:v>1.0886751115322113</c:v>
                </c:pt>
                <c:pt idx="1">
                  <c:v>0.83712134510278702</c:v>
                </c:pt>
                <c:pt idx="2">
                  <c:v>0.65040921326726675</c:v>
                </c:pt>
                <c:pt idx="3">
                  <c:v>0.57016212958842516</c:v>
                </c:pt>
                <c:pt idx="4">
                  <c:v>0.51916114753112197</c:v>
                </c:pt>
                <c:pt idx="5">
                  <c:v>0.47867201501503587</c:v>
                </c:pt>
                <c:pt idx="6">
                  <c:v>0.44242569711059332</c:v>
                </c:pt>
                <c:pt idx="7">
                  <c:v>0.40806265315040946</c:v>
                </c:pt>
                <c:pt idx="8">
                  <c:v>0.37474224809557199</c:v>
                </c:pt>
                <c:pt idx="9">
                  <c:v>0.34228325821459293</c:v>
                </c:pt>
              </c:numCache>
            </c:numRef>
          </c:val>
        </c:ser>
        <c:ser>
          <c:idx val="4"/>
          <c:order val="4"/>
          <c:tx>
            <c:strRef>
              <c:f>SecGen!$A$70</c:f>
              <c:strCache>
                <c:ptCount val="1"/>
                <c:pt idx="0">
                  <c:v>0.34</c:v>
                </c:pt>
              </c:strCache>
            </c:strRef>
          </c:tx>
          <c:cat>
            <c:strRef>
              <c:f>SecGen!$B$64:$K$65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SecGen!$B$70:$K$70</c:f>
              <c:numCache>
                <c:formatCode>General</c:formatCode>
                <c:ptCount val="10"/>
                <c:pt idx="0">
                  <c:v>1.1512332363054156</c:v>
                </c:pt>
                <c:pt idx="1">
                  <c:v>0.88125765323638916</c:v>
                </c:pt>
                <c:pt idx="2">
                  <c:v>0.67943288013339043</c:v>
                </c:pt>
                <c:pt idx="3">
                  <c:v>0.59258539695292711</c:v>
                </c:pt>
                <c:pt idx="4">
                  <c:v>0.53841413464397192</c:v>
                </c:pt>
                <c:pt idx="5">
                  <c:v>0.49680591328069568</c:v>
                </c:pt>
                <c:pt idx="6">
                  <c:v>0.46084419591352344</c:v>
                </c:pt>
                <c:pt idx="7">
                  <c:v>0.4277325002476573</c:v>
                </c:pt>
                <c:pt idx="8">
                  <c:v>0.39627591613680124</c:v>
                </c:pt>
                <c:pt idx="9">
                  <c:v>0.36599161103367805</c:v>
                </c:pt>
              </c:numCache>
            </c:numRef>
          </c:val>
        </c:ser>
        <c:ser>
          <c:idx val="5"/>
          <c:order val="5"/>
          <c:tx>
            <c:strRef>
              <c:f>SecGen!$A$71</c:f>
              <c:strCache>
                <c:ptCount val="1"/>
                <c:pt idx="0">
                  <c:v>0.3</c:v>
                </c:pt>
              </c:strCache>
            </c:strRef>
          </c:tx>
          <c:cat>
            <c:strRef>
              <c:f>SecGen!$B$64:$K$65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SecGen!$B$71:$K$71</c:f>
              <c:numCache>
                <c:formatCode>General</c:formatCode>
                <c:ptCount val="10"/>
                <c:pt idx="0">
                  <c:v>1.2312448583543301</c:v>
                </c:pt>
                <c:pt idx="1">
                  <c:v>0.93942722305655479</c:v>
                </c:pt>
                <c:pt idx="2">
                  <c:v>0.7196859922260046</c:v>
                </c:pt>
                <c:pt idx="3">
                  <c:v>0.62470876146107912</c:v>
                </c:pt>
                <c:pt idx="4">
                  <c:v>0.56608150480315089</c:v>
                </c:pt>
                <c:pt idx="5">
                  <c:v>0.52209456916898489</c:v>
                </c:pt>
                <c:pt idx="6">
                  <c:v>0.48516156384721398</c:v>
                </c:pt>
                <c:pt idx="7">
                  <c:v>0.45208954252302647</c:v>
                </c:pt>
                <c:pt idx="8">
                  <c:v>0.42139043798670173</c:v>
                </c:pt>
                <c:pt idx="9">
                  <c:v>0.39233991410583258</c:v>
                </c:pt>
              </c:numCache>
            </c:numRef>
          </c:val>
        </c:ser>
        <c:ser>
          <c:idx val="6"/>
          <c:order val="6"/>
          <c:tx>
            <c:strRef>
              <c:f>SecGen!$A$72</c:f>
              <c:strCache>
                <c:ptCount val="1"/>
                <c:pt idx="0">
                  <c:v>0.26</c:v>
                </c:pt>
              </c:strCache>
            </c:strRef>
          </c:tx>
          <c:cat>
            <c:strRef>
              <c:f>SecGen!$B$64:$K$65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SecGen!$B$72:$K$72</c:f>
              <c:numCache>
                <c:formatCode>General</c:formatCode>
                <c:ptCount val="10"/>
                <c:pt idx="0">
                  <c:v>1.3392011169344187</c:v>
                </c:pt>
                <c:pt idx="1">
                  <c:v>1.0203385027125478</c:v>
                </c:pt>
                <c:pt idx="2">
                  <c:v>0.77842106111347675</c:v>
                </c:pt>
                <c:pt idx="3">
                  <c:v>0.67311676684767008</c:v>
                </c:pt>
                <c:pt idx="4">
                  <c:v>0.60833604075014591</c:v>
                </c:pt>
                <c:pt idx="5">
                  <c:v>0.56041100760921836</c:v>
                </c:pt>
                <c:pt idx="6">
                  <c:v>0.52099196473136544</c:v>
                </c:pt>
                <c:pt idx="7">
                  <c:v>0.48648363444954157</c:v>
                </c:pt>
                <c:pt idx="8">
                  <c:v>0.45513329096138477</c:v>
                </c:pt>
                <c:pt idx="9">
                  <c:v>0.4260149085894227</c:v>
                </c:pt>
              </c:numCache>
            </c:numRef>
          </c:val>
        </c:ser>
        <c:ser>
          <c:idx val="7"/>
          <c:order val="7"/>
          <c:tx>
            <c:strRef>
              <c:f>SecGen!$A$73</c:f>
              <c:strCache>
                <c:ptCount val="1"/>
                <c:pt idx="0">
                  <c:v>0.22</c:v>
                </c:pt>
              </c:strCache>
            </c:strRef>
          </c:tx>
          <c:cat>
            <c:strRef>
              <c:f>SecGen!$B$64:$K$65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SecGen!$B$73:$K$73</c:f>
              <c:numCache>
                <c:formatCode>General</c:formatCode>
                <c:ptCount val="10"/>
                <c:pt idx="0">
                  <c:v>1.4957576058804989</c:v>
                </c:pt>
                <c:pt idx="1">
                  <c:v>1.1413221247494221</c:v>
                </c:pt>
                <c:pt idx="2">
                  <c:v>0.87017468176782131</c:v>
                </c:pt>
                <c:pt idx="3">
                  <c:v>0.75097605586051941</c:v>
                </c:pt>
                <c:pt idx="4">
                  <c:v>0.67743323743343353</c:v>
                </c:pt>
                <c:pt idx="5">
                  <c:v>0.62331086955964565</c:v>
                </c:pt>
                <c:pt idx="6">
                  <c:v>0.57930294424295425</c:v>
                </c:pt>
                <c:pt idx="7">
                  <c:v>0.54135115351527929</c:v>
                </c:pt>
                <c:pt idx="8">
                  <c:v>0.50742781022563577</c:v>
                </c:pt>
                <c:pt idx="9">
                  <c:v>0.47641658456996083</c:v>
                </c:pt>
              </c:numCache>
            </c:numRef>
          </c:val>
        </c:ser>
        <c:ser>
          <c:idx val="8"/>
          <c:order val="8"/>
          <c:tx>
            <c:strRef>
              <c:f>SecGen!$A$74</c:f>
              <c:strCache>
                <c:ptCount val="1"/>
                <c:pt idx="0">
                  <c:v>0.18</c:v>
                </c:pt>
              </c:strCache>
            </c:strRef>
          </c:tx>
          <c:cat>
            <c:strRef>
              <c:f>SecGen!$B$64:$K$65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SecGen!$B$74:$K$74</c:f>
              <c:numCache>
                <c:formatCode>General</c:formatCode>
                <c:ptCount val="10"/>
                <c:pt idx="0">
                  <c:v>1.7475907690823078</c:v>
                </c:pt>
                <c:pt idx="1">
                  <c:v>1.3422438874840736</c:v>
                </c:pt>
                <c:pt idx="2">
                  <c:v>1.0289666242897511</c:v>
                </c:pt>
                <c:pt idx="3">
                  <c:v>0.88929953053593636</c:v>
                </c:pt>
                <c:pt idx="4">
                  <c:v>0.80225681886076927</c:v>
                </c:pt>
                <c:pt idx="5">
                  <c:v>0.73794946074485779</c:v>
                </c:pt>
                <c:pt idx="6">
                  <c:v>0.68575534969568253</c:v>
                </c:pt>
                <c:pt idx="7">
                  <c:v>0.64101191237568855</c:v>
                </c:pt>
                <c:pt idx="8">
                  <c:v>0.60135789681226015</c:v>
                </c:pt>
                <c:pt idx="9">
                  <c:v>0.56546480627730489</c:v>
                </c:pt>
              </c:numCache>
            </c:numRef>
          </c:val>
        </c:ser>
        <c:ser>
          <c:idx val="9"/>
          <c:order val="9"/>
          <c:tx>
            <c:strRef>
              <c:f>SecGen!$A$75</c:f>
              <c:strCache>
                <c:ptCount val="1"/>
                <c:pt idx="0">
                  <c:v>0.14</c:v>
                </c:pt>
              </c:strCache>
            </c:strRef>
          </c:tx>
          <c:cat>
            <c:strRef>
              <c:f>SecGen!$B$64:$K$65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SecGen!$B$75:$K$75</c:f>
              <c:numCache>
                <c:formatCode>General</c:formatCode>
                <c:ptCount val="10"/>
                <c:pt idx="0">
                  <c:v>2.2244640626013279</c:v>
                </c:pt>
                <c:pt idx="1">
                  <c:v>1.7374120652675629</c:v>
                </c:pt>
                <c:pt idx="2">
                  <c:v>1.3557147234678268</c:v>
                </c:pt>
                <c:pt idx="3">
                  <c:v>1.1817963793873787</c:v>
                </c:pt>
                <c:pt idx="4">
                  <c:v>1.0710453847423196</c:v>
                </c:pt>
                <c:pt idx="5">
                  <c:v>0.98782971035689116</c:v>
                </c:pt>
                <c:pt idx="6">
                  <c:v>0.91954437084496021</c:v>
                </c:pt>
                <c:pt idx="7">
                  <c:v>0.86066422518342733</c:v>
                </c:pt>
                <c:pt idx="8">
                  <c:v>0.80837812274694443</c:v>
                </c:pt>
                <c:pt idx="9">
                  <c:v>0.76108581852167845</c:v>
                </c:pt>
              </c:numCache>
            </c:numRef>
          </c:val>
        </c:ser>
        <c:bandFmts/>
        <c:axId val="121864704"/>
        <c:axId val="80302592"/>
        <c:axId val="121643648"/>
      </c:surface3DChart>
      <c:catAx>
        <c:axId val="121864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/>
                  <a:t>(</a:t>
                </a:r>
                <a:r>
                  <a:rPr lang="el-GR">
                    <a:latin typeface="Times New Roman"/>
                    <a:cs typeface="Times New Roman"/>
                  </a:rPr>
                  <a:t>ξ</a:t>
                </a:r>
                <a:r>
                  <a:rPr lang="en-CA">
                    <a:latin typeface="Times New Roman"/>
                    <a:cs typeface="Times New Roman"/>
                  </a:rPr>
                  <a:t>)</a:t>
                </a:r>
                <a:endParaRPr lang="en-CA"/>
              </a:p>
            </c:rich>
          </c:tx>
          <c:overlay val="0"/>
        </c:title>
        <c:majorTickMark val="out"/>
        <c:minorTickMark val="none"/>
        <c:tickLblPos val="nextTo"/>
        <c:crossAx val="80302592"/>
        <c:crosses val="autoZero"/>
        <c:auto val="1"/>
        <c:lblAlgn val="ctr"/>
        <c:lblOffset val="100"/>
        <c:noMultiLvlLbl val="0"/>
      </c:catAx>
      <c:valAx>
        <c:axId val="80302592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/>
                  <a:t>Tensile</a:t>
                </a:r>
                <a:r>
                  <a:rPr lang="en-CA" baseline="0"/>
                  <a:t> Strain</a:t>
                </a:r>
              </a:p>
              <a:p>
                <a:pPr>
                  <a:defRPr/>
                </a:pPr>
                <a:r>
                  <a:rPr lang="en-CA" baseline="0"/>
                  <a:t> Capacity in %</a:t>
                </a:r>
                <a:endParaRPr lang="en-CA"/>
              </a:p>
            </c:rich>
          </c:tx>
          <c:layout>
            <c:manualLayout>
              <c:xMode val="edge"/>
              <c:yMode val="edge"/>
              <c:x val="4.8461315469894621E-2"/>
              <c:y val="2.607247010790318E-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1864704"/>
        <c:crosses val="autoZero"/>
        <c:crossBetween val="midCat"/>
      </c:valAx>
      <c:serAx>
        <c:axId val="121643648"/>
        <c:scaling>
          <c:orientation val="minMax"/>
        </c:scaling>
        <c:delete val="0"/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/>
                  <a:t>(</a:t>
                </a:r>
                <a:r>
                  <a:rPr lang="el-GR">
                    <a:latin typeface="Times New Roman"/>
                    <a:cs typeface="Times New Roman"/>
                  </a:rPr>
                  <a:t>η</a:t>
                </a:r>
                <a:r>
                  <a:rPr lang="en-CA">
                    <a:latin typeface="Times New Roman"/>
                    <a:cs typeface="Times New Roman"/>
                  </a:rPr>
                  <a:t>)</a:t>
                </a:r>
                <a:endParaRPr lang="en-CA"/>
              </a:p>
            </c:rich>
          </c:tx>
          <c:layout>
            <c:manualLayout>
              <c:xMode val="edge"/>
              <c:yMode val="edge"/>
              <c:x val="0.69496559775453937"/>
              <c:y val="0.60721274424030325"/>
            </c:manualLayout>
          </c:layout>
          <c:overlay val="0"/>
        </c:title>
        <c:majorTickMark val="out"/>
        <c:minorTickMark val="none"/>
        <c:tickLblPos val="nextTo"/>
        <c:crossAx val="80302592"/>
        <c:crosses val="autoZero"/>
      </c:serAx>
    </c:plotArea>
    <c:legend>
      <c:legendPos val="r"/>
      <c:layout>
        <c:manualLayout>
          <c:xMode val="edge"/>
          <c:yMode val="edge"/>
          <c:x val="0.90281179363620545"/>
          <c:y val="0.32793598716827066"/>
          <c:w val="7.9452213583712142E-2"/>
          <c:h val="0.33486876640419949"/>
        </c:manualLayout>
      </c:layout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SecGen!$R$106:$R$107</c:f>
              <c:strCache>
                <c:ptCount val="1"/>
                <c:pt idx="0">
                  <c:v>lambda = 0.8 delta = 0.25</c:v>
                </c:pt>
              </c:strCache>
            </c:strRef>
          </c:tx>
          <c:xVal>
            <c:numRef>
              <c:f>SecGen!$Q$108:$Q$118</c:f>
              <c:numCache>
                <c:formatCode>0.0000</c:formatCode>
                <c:ptCount val="11"/>
                <c:pt idx="0">
                  <c:v>3.1736562252044678</c:v>
                </c:pt>
                <c:pt idx="1">
                  <c:v>2.6883058547973633</c:v>
                </c:pt>
                <c:pt idx="2">
                  <c:v>2.3596391677856445</c:v>
                </c:pt>
                <c:pt idx="3">
                  <c:v>2.116206169128418</c:v>
                </c:pt>
                <c:pt idx="4">
                  <c:v>1.9254862070083618</c:v>
                </c:pt>
                <c:pt idx="5">
                  <c:v>1.7701680660247803</c:v>
                </c:pt>
                <c:pt idx="6">
                  <c:v>1.640036940574646</c:v>
                </c:pt>
                <c:pt idx="7">
                  <c:v>1.5286073684692383</c:v>
                </c:pt>
                <c:pt idx="8">
                  <c:v>1.4315282106399536</c:v>
                </c:pt>
                <c:pt idx="9">
                  <c:v>1.3457516431808472</c:v>
                </c:pt>
                <c:pt idx="10">
                  <c:v>1.2690688371658325</c:v>
                </c:pt>
              </c:numCache>
            </c:numRef>
          </c:xVal>
          <c:yVal>
            <c:numRef>
              <c:f>SecGen!$R$108:$R$118</c:f>
              <c:numCache>
                <c:formatCode>0.0000</c:formatCode>
                <c:ptCount val="11"/>
                <c:pt idx="0">
                  <c:v>2.608414888381958</c:v>
                </c:pt>
                <c:pt idx="1">
                  <c:v>2.2127647399902344</c:v>
                </c:pt>
                <c:pt idx="2">
                  <c:v>1.9451000690460205</c:v>
                </c:pt>
                <c:pt idx="3">
                  <c:v>1.7470049858093262</c:v>
                </c:pt>
                <c:pt idx="4">
                  <c:v>1.5919021368026733</c:v>
                </c:pt>
                <c:pt idx="5">
                  <c:v>1.4656498432159424</c:v>
                </c:pt>
                <c:pt idx="6">
                  <c:v>1.359906792640686</c:v>
                </c:pt>
                <c:pt idx="7">
                  <c:v>1.2693787813186646</c:v>
                </c:pt>
                <c:pt idx="8">
                  <c:v>1.1905152797698975</c:v>
                </c:pt>
                <c:pt idx="9">
                  <c:v>1.1208300590515137</c:v>
                </c:pt>
                <c:pt idx="10">
                  <c:v>1.0585218667984009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SecGen!$S$106:$S$107</c:f>
              <c:strCache>
                <c:ptCount val="1"/>
                <c:pt idx="0">
                  <c:v>lambda = 0.8 delta = 0.2</c:v>
                </c:pt>
              </c:strCache>
            </c:strRef>
          </c:tx>
          <c:xVal>
            <c:numRef>
              <c:f>SecGen!$Q$108:$Q$118</c:f>
              <c:numCache>
                <c:formatCode>0.0000</c:formatCode>
                <c:ptCount val="11"/>
                <c:pt idx="0">
                  <c:v>3.1736562252044678</c:v>
                </c:pt>
                <c:pt idx="1">
                  <c:v>2.6883058547973633</c:v>
                </c:pt>
                <c:pt idx="2">
                  <c:v>2.3596391677856445</c:v>
                </c:pt>
                <c:pt idx="3">
                  <c:v>2.116206169128418</c:v>
                </c:pt>
                <c:pt idx="4">
                  <c:v>1.9254862070083618</c:v>
                </c:pt>
                <c:pt idx="5">
                  <c:v>1.7701680660247803</c:v>
                </c:pt>
                <c:pt idx="6">
                  <c:v>1.640036940574646</c:v>
                </c:pt>
                <c:pt idx="7">
                  <c:v>1.5286073684692383</c:v>
                </c:pt>
                <c:pt idx="8">
                  <c:v>1.4315282106399536</c:v>
                </c:pt>
                <c:pt idx="9">
                  <c:v>1.3457516431808472</c:v>
                </c:pt>
                <c:pt idx="10">
                  <c:v>1.2690688371658325</c:v>
                </c:pt>
              </c:numCache>
            </c:numRef>
          </c:xVal>
          <c:yVal>
            <c:numRef>
              <c:f>SecGen!$S$108:$S$118</c:f>
              <c:numCache>
                <c:formatCode>0.0000</c:formatCode>
                <c:ptCount val="11"/>
                <c:pt idx="0">
                  <c:v>2.0517332553863525</c:v>
                </c:pt>
                <c:pt idx="1">
                  <c:v>1.7436627149581909</c:v>
                </c:pt>
                <c:pt idx="2">
                  <c:v>1.5355085134506226</c:v>
                </c:pt>
                <c:pt idx="3">
                  <c:v>1.3816163539886475</c:v>
                </c:pt>
                <c:pt idx="4">
                  <c:v>1.2612253427505493</c:v>
                </c:pt>
                <c:pt idx="5">
                  <c:v>1.1632943153381348</c:v>
                </c:pt>
                <c:pt idx="6">
                  <c:v>1.0813132524490356</c:v>
                </c:pt>
                <c:pt idx="7">
                  <c:v>1.0111526250839233</c:v>
                </c:pt>
                <c:pt idx="8">
                  <c:v>0.9500434398651123</c:v>
                </c:pt>
                <c:pt idx="9">
                  <c:v>0.89604806900024414</c:v>
                </c:pt>
                <c:pt idx="10">
                  <c:v>0.8477628231048584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SecGen!$T$106:$T$107</c:f>
              <c:strCache>
                <c:ptCount val="1"/>
                <c:pt idx="0">
                  <c:v>lambda = 0.8 delta=0.15</c:v>
                </c:pt>
              </c:strCache>
            </c:strRef>
          </c:tx>
          <c:xVal>
            <c:numRef>
              <c:f>SecGen!$Q$108:$Q$118</c:f>
              <c:numCache>
                <c:formatCode>0.0000</c:formatCode>
                <c:ptCount val="11"/>
                <c:pt idx="0">
                  <c:v>3.1736562252044678</c:v>
                </c:pt>
                <c:pt idx="1">
                  <c:v>2.6883058547973633</c:v>
                </c:pt>
                <c:pt idx="2">
                  <c:v>2.3596391677856445</c:v>
                </c:pt>
                <c:pt idx="3">
                  <c:v>2.116206169128418</c:v>
                </c:pt>
                <c:pt idx="4">
                  <c:v>1.9254862070083618</c:v>
                </c:pt>
                <c:pt idx="5">
                  <c:v>1.7701680660247803</c:v>
                </c:pt>
                <c:pt idx="6">
                  <c:v>1.640036940574646</c:v>
                </c:pt>
                <c:pt idx="7">
                  <c:v>1.5286073684692383</c:v>
                </c:pt>
                <c:pt idx="8">
                  <c:v>1.4315282106399536</c:v>
                </c:pt>
                <c:pt idx="9">
                  <c:v>1.3457516431808472</c:v>
                </c:pt>
                <c:pt idx="10">
                  <c:v>1.2690688371658325</c:v>
                </c:pt>
              </c:numCache>
            </c:numRef>
          </c:xVal>
          <c:yVal>
            <c:numRef>
              <c:f>SecGen!$T$108:$T$118</c:f>
              <c:numCache>
                <c:formatCode>0.0000</c:formatCode>
                <c:ptCount val="11"/>
                <c:pt idx="0">
                  <c:v>1.5056076049804687</c:v>
                </c:pt>
                <c:pt idx="1">
                  <c:v>1.2825163602828979</c:v>
                </c:pt>
                <c:pt idx="2">
                  <c:v>1.1320409774780273</c:v>
                </c:pt>
                <c:pt idx="3">
                  <c:v>1.0209556818008423</c:v>
                </c:pt>
                <c:pt idx="4">
                  <c:v>0.93416082859039307</c:v>
                </c:pt>
                <c:pt idx="5">
                  <c:v>0.86363065242767334</c:v>
                </c:pt>
                <c:pt idx="6">
                  <c:v>0.80463606119155884</c:v>
                </c:pt>
                <c:pt idx="7">
                  <c:v>0.75417846441268921</c:v>
                </c:pt>
                <c:pt idx="8">
                  <c:v>0.71024864912033081</c:v>
                </c:pt>
                <c:pt idx="9">
                  <c:v>0.67144083976745605</c:v>
                </c:pt>
                <c:pt idx="10">
                  <c:v>0.63673734664916992</c:v>
                </c:pt>
              </c:numCache>
            </c:numRef>
          </c:yVal>
          <c:smooth val="0"/>
        </c:ser>
        <c:ser>
          <c:idx val="3"/>
          <c:order val="3"/>
          <c:tx>
            <c:strRef>
              <c:f>SecGen!$U$106:$U$107</c:f>
              <c:strCache>
                <c:ptCount val="1"/>
                <c:pt idx="0">
                  <c:v>lambda = 0.8 delta=0.1</c:v>
                </c:pt>
              </c:strCache>
            </c:strRef>
          </c:tx>
          <c:xVal>
            <c:numRef>
              <c:f>SecGen!$Q$108:$Q$118</c:f>
              <c:numCache>
                <c:formatCode>0.0000</c:formatCode>
                <c:ptCount val="11"/>
                <c:pt idx="0">
                  <c:v>3.1736562252044678</c:v>
                </c:pt>
                <c:pt idx="1">
                  <c:v>2.6883058547973633</c:v>
                </c:pt>
                <c:pt idx="2">
                  <c:v>2.3596391677856445</c:v>
                </c:pt>
                <c:pt idx="3">
                  <c:v>2.116206169128418</c:v>
                </c:pt>
                <c:pt idx="4">
                  <c:v>1.9254862070083618</c:v>
                </c:pt>
                <c:pt idx="5">
                  <c:v>1.7701680660247803</c:v>
                </c:pt>
                <c:pt idx="6">
                  <c:v>1.640036940574646</c:v>
                </c:pt>
                <c:pt idx="7">
                  <c:v>1.5286073684692383</c:v>
                </c:pt>
                <c:pt idx="8">
                  <c:v>1.4315282106399536</c:v>
                </c:pt>
                <c:pt idx="9">
                  <c:v>1.3457516431808472</c:v>
                </c:pt>
                <c:pt idx="10">
                  <c:v>1.2690688371658325</c:v>
                </c:pt>
              </c:numCache>
            </c:numRef>
          </c:xVal>
          <c:yVal>
            <c:numRef>
              <c:f>SecGen!$U$108:$U$118</c:f>
              <c:numCache>
                <c:formatCode>0.0000</c:formatCode>
                <c:ptCount val="11"/>
                <c:pt idx="0">
                  <c:v>0.97335851192474365</c:v>
                </c:pt>
                <c:pt idx="1">
                  <c:v>0.83185327053070068</c:v>
                </c:pt>
                <c:pt idx="2">
                  <c:v>0.73666292428970337</c:v>
                </c:pt>
                <c:pt idx="3">
                  <c:v>0.66655558347702026</c:v>
                </c:pt>
                <c:pt idx="4">
                  <c:v>0.61189079284667969</c:v>
                </c:pt>
                <c:pt idx="5">
                  <c:v>0.56754869222640991</c:v>
                </c:pt>
                <c:pt idx="6">
                  <c:v>0.53051465749740601</c:v>
                </c:pt>
                <c:pt idx="7">
                  <c:v>0.4988785982131958</c:v>
                </c:pt>
                <c:pt idx="8">
                  <c:v>0.47136133909225464</c:v>
                </c:pt>
                <c:pt idx="9">
                  <c:v>0.44706857204437256</c:v>
                </c:pt>
                <c:pt idx="10">
                  <c:v>0.42535302042961121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303744"/>
        <c:axId val="80304320"/>
      </c:scatterChart>
      <c:valAx>
        <c:axId val="80303744"/>
        <c:scaling>
          <c:orientation val="minMax"/>
        </c:scaling>
        <c:delete val="0"/>
        <c:axPos val="b"/>
        <c:numFmt formatCode="0.0000" sourceLinked="1"/>
        <c:majorTickMark val="out"/>
        <c:minorTickMark val="none"/>
        <c:tickLblPos val="nextTo"/>
        <c:crossAx val="80304320"/>
        <c:crosses val="autoZero"/>
        <c:crossBetween val="midCat"/>
      </c:valAx>
      <c:valAx>
        <c:axId val="80304320"/>
        <c:scaling>
          <c:orientation val="minMax"/>
        </c:scaling>
        <c:delete val="0"/>
        <c:axPos val="l"/>
        <c:majorGridlines/>
        <c:numFmt formatCode="0.0000" sourceLinked="1"/>
        <c:majorTickMark val="out"/>
        <c:minorTickMark val="none"/>
        <c:tickLblPos val="nextTo"/>
        <c:crossAx val="80303744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 sz="1200" baseline="0"/>
              <a:t>Basis functions for a surface of degree (2,2)</a:t>
            </a:r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Bezier!$K$2</c:f>
              <c:strCache>
                <c:ptCount val="1"/>
                <c:pt idx="0">
                  <c:v>Bm,0</c:v>
                </c:pt>
              </c:strCache>
            </c:strRef>
          </c:tx>
          <c:marker>
            <c:symbol val="none"/>
          </c:marker>
          <c:xVal>
            <c:numRef>
              <c:f>Bezier!$J$3:$J$13</c:f>
              <c:numCache>
                <c:formatCode>0.0</c:formatCode>
                <c:ptCount val="11"/>
                <c:pt idx="0" formatCode="General">
                  <c:v>0</c:v>
                </c:pt>
                <c:pt idx="1">
                  <c:v>0.1</c:v>
                </c:pt>
                <c:pt idx="2" formatCode="General">
                  <c:v>0.2</c:v>
                </c:pt>
                <c:pt idx="3" formatCode="General">
                  <c:v>0.3</c:v>
                </c:pt>
                <c:pt idx="4">
                  <c:v>0.4</c:v>
                </c:pt>
                <c:pt idx="5" formatCode="General">
                  <c:v>0.5</c:v>
                </c:pt>
                <c:pt idx="6" formatCode="General">
                  <c:v>0.6</c:v>
                </c:pt>
                <c:pt idx="7">
                  <c:v>0.7</c:v>
                </c:pt>
                <c:pt idx="8" formatCode="General">
                  <c:v>0.8</c:v>
                </c:pt>
                <c:pt idx="9" formatCode="General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Bezier!$K$3:$K$13</c:f>
              <c:numCache>
                <c:formatCode>General</c:formatCode>
                <c:ptCount val="11"/>
                <c:pt idx="0">
                  <c:v>1</c:v>
                </c:pt>
                <c:pt idx="1">
                  <c:v>0.81</c:v>
                </c:pt>
                <c:pt idx="2">
                  <c:v>0.64000000000000012</c:v>
                </c:pt>
                <c:pt idx="3">
                  <c:v>0.48999999999999994</c:v>
                </c:pt>
                <c:pt idx="4">
                  <c:v>0.36</c:v>
                </c:pt>
                <c:pt idx="5">
                  <c:v>0.25</c:v>
                </c:pt>
                <c:pt idx="6">
                  <c:v>0.16000000000000003</c:v>
                </c:pt>
                <c:pt idx="7">
                  <c:v>9.0000000000000024E-2</c:v>
                </c:pt>
                <c:pt idx="8">
                  <c:v>3.999999999999998E-2</c:v>
                </c:pt>
                <c:pt idx="9">
                  <c:v>9.999999999999995E-3</c:v>
                </c:pt>
                <c:pt idx="1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Bezier!$L$2</c:f>
              <c:strCache>
                <c:ptCount val="1"/>
                <c:pt idx="0">
                  <c:v>Bm,1</c:v>
                </c:pt>
              </c:strCache>
            </c:strRef>
          </c:tx>
          <c:marker>
            <c:symbol val="none"/>
          </c:marker>
          <c:xVal>
            <c:numRef>
              <c:f>Bezier!$J$3:$J$13</c:f>
              <c:numCache>
                <c:formatCode>0.0</c:formatCode>
                <c:ptCount val="11"/>
                <c:pt idx="0" formatCode="General">
                  <c:v>0</c:v>
                </c:pt>
                <c:pt idx="1">
                  <c:v>0.1</c:v>
                </c:pt>
                <c:pt idx="2" formatCode="General">
                  <c:v>0.2</c:v>
                </c:pt>
                <c:pt idx="3" formatCode="General">
                  <c:v>0.3</c:v>
                </c:pt>
                <c:pt idx="4">
                  <c:v>0.4</c:v>
                </c:pt>
                <c:pt idx="5" formatCode="General">
                  <c:v>0.5</c:v>
                </c:pt>
                <c:pt idx="6" formatCode="General">
                  <c:v>0.6</c:v>
                </c:pt>
                <c:pt idx="7">
                  <c:v>0.7</c:v>
                </c:pt>
                <c:pt idx="8" formatCode="General">
                  <c:v>0.8</c:v>
                </c:pt>
                <c:pt idx="9" formatCode="General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Bezier!$L$3:$L$13</c:f>
              <c:numCache>
                <c:formatCode>General</c:formatCode>
                <c:ptCount val="11"/>
                <c:pt idx="0">
                  <c:v>0</c:v>
                </c:pt>
                <c:pt idx="1">
                  <c:v>0.18000000000000002</c:v>
                </c:pt>
                <c:pt idx="2">
                  <c:v>0.32000000000000006</c:v>
                </c:pt>
                <c:pt idx="3">
                  <c:v>0.42</c:v>
                </c:pt>
                <c:pt idx="4">
                  <c:v>0.48</c:v>
                </c:pt>
                <c:pt idx="5">
                  <c:v>0.5</c:v>
                </c:pt>
                <c:pt idx="6">
                  <c:v>0.48</c:v>
                </c:pt>
                <c:pt idx="7">
                  <c:v>0.42000000000000004</c:v>
                </c:pt>
                <c:pt idx="8">
                  <c:v>0.31999999999999995</c:v>
                </c:pt>
                <c:pt idx="9">
                  <c:v>0.17999999999999997</c:v>
                </c:pt>
                <c:pt idx="10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Bezier!$M$2</c:f>
              <c:strCache>
                <c:ptCount val="1"/>
                <c:pt idx="0">
                  <c:v>Bm,2</c:v>
                </c:pt>
              </c:strCache>
            </c:strRef>
          </c:tx>
          <c:marker>
            <c:symbol val="none"/>
          </c:marker>
          <c:xVal>
            <c:numRef>
              <c:f>Bezier!$J$3:$J$13</c:f>
              <c:numCache>
                <c:formatCode>0.0</c:formatCode>
                <c:ptCount val="11"/>
                <c:pt idx="0" formatCode="General">
                  <c:v>0</c:v>
                </c:pt>
                <c:pt idx="1">
                  <c:v>0.1</c:v>
                </c:pt>
                <c:pt idx="2" formatCode="General">
                  <c:v>0.2</c:v>
                </c:pt>
                <c:pt idx="3" formatCode="General">
                  <c:v>0.3</c:v>
                </c:pt>
                <c:pt idx="4">
                  <c:v>0.4</c:v>
                </c:pt>
                <c:pt idx="5" formatCode="General">
                  <c:v>0.5</c:v>
                </c:pt>
                <c:pt idx="6" formatCode="General">
                  <c:v>0.6</c:v>
                </c:pt>
                <c:pt idx="7">
                  <c:v>0.7</c:v>
                </c:pt>
                <c:pt idx="8" formatCode="General">
                  <c:v>0.8</c:v>
                </c:pt>
                <c:pt idx="9" formatCode="General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Bezier!$M$3:$M$13</c:f>
              <c:numCache>
                <c:formatCode>General</c:formatCode>
                <c:ptCount val="11"/>
                <c:pt idx="0">
                  <c:v>0</c:v>
                </c:pt>
                <c:pt idx="1">
                  <c:v>1.0000000000000002E-2</c:v>
                </c:pt>
                <c:pt idx="2">
                  <c:v>4.0000000000000008E-2</c:v>
                </c:pt>
                <c:pt idx="3">
                  <c:v>0.09</c:v>
                </c:pt>
                <c:pt idx="4">
                  <c:v>0.16000000000000003</c:v>
                </c:pt>
                <c:pt idx="5">
                  <c:v>0.25</c:v>
                </c:pt>
                <c:pt idx="6">
                  <c:v>0.36</c:v>
                </c:pt>
                <c:pt idx="7">
                  <c:v>0.48999999999999994</c:v>
                </c:pt>
                <c:pt idx="8">
                  <c:v>0.64000000000000012</c:v>
                </c:pt>
                <c:pt idx="9">
                  <c:v>0.81</c:v>
                </c:pt>
                <c:pt idx="1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2555200"/>
        <c:axId val="122555776"/>
      </c:scatterChart>
      <c:valAx>
        <c:axId val="122555200"/>
        <c:scaling>
          <c:orientation val="minMax"/>
          <c:max val="1"/>
        </c:scaling>
        <c:delete val="0"/>
        <c:axPos val="b"/>
        <c:numFmt formatCode="General" sourceLinked="1"/>
        <c:majorTickMark val="out"/>
        <c:minorTickMark val="none"/>
        <c:tickLblPos val="nextTo"/>
        <c:crossAx val="122555776"/>
        <c:crosses val="autoZero"/>
        <c:crossBetween val="midCat"/>
      </c:valAx>
      <c:valAx>
        <c:axId val="122555776"/>
        <c:scaling>
          <c:orientation val="minMax"/>
          <c:max val="1"/>
        </c:scaling>
        <c:delete val="0"/>
        <c:axPos val="l"/>
        <c:numFmt formatCode="General" sourceLinked="1"/>
        <c:majorTickMark val="out"/>
        <c:minorTickMark val="none"/>
        <c:tickLblPos val="nextTo"/>
        <c:crossAx val="12255520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l-GR" sz="1200">
                <a:latin typeface="Times New Roman"/>
                <a:cs typeface="Times New Roman"/>
              </a:rPr>
              <a:t>λ</a:t>
            </a:r>
            <a:r>
              <a:rPr lang="en-CA" sz="1200">
                <a:latin typeface="Times New Roman"/>
                <a:cs typeface="Times New Roman"/>
              </a:rPr>
              <a:t>=0.8</a:t>
            </a:r>
          </a:p>
          <a:p>
            <a:pPr>
              <a:defRPr/>
            </a:pPr>
            <a:r>
              <a:rPr lang="el-GR" sz="1200">
                <a:latin typeface="Times New Roman"/>
                <a:cs typeface="Times New Roman"/>
              </a:rPr>
              <a:t>δ</a:t>
            </a:r>
            <a:r>
              <a:rPr lang="en-CA" sz="1200">
                <a:latin typeface="Times New Roman"/>
                <a:cs typeface="Times New Roman"/>
              </a:rPr>
              <a:t>=0.2</a:t>
            </a:r>
            <a:endParaRPr lang="en-CA" sz="1200"/>
          </a:p>
        </c:rich>
      </c:tx>
      <c:layout>
        <c:manualLayout>
          <c:xMode val="edge"/>
          <c:yMode val="edge"/>
          <c:x val="0.7712227847263583"/>
          <c:y val="8.3333333333333329E-2"/>
        </c:manualLayout>
      </c:layout>
      <c:overlay val="0"/>
    </c:title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9.4131592879359391E-2"/>
          <c:y val="2.8252405949256341E-2"/>
          <c:w val="0.63798309178743973"/>
          <c:h val="0.8231248177311169"/>
        </c:manualLayout>
      </c:layout>
      <c:surface3DChart>
        <c:wireframe val="0"/>
        <c:ser>
          <c:idx val="0"/>
          <c:order val="0"/>
          <c:tx>
            <c:strRef>
              <c:f>Bezier!$A$52</c:f>
              <c:strCache>
                <c:ptCount val="1"/>
                <c:pt idx="0">
                  <c:v>0.1</c:v>
                </c:pt>
              </c:strCache>
            </c:strRef>
          </c:tx>
          <c:cat>
            <c:strRef>
              <c:f>Bezier!$B$50:$K$51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Bezier!$B$52:$K$52</c:f>
              <c:numCache>
                <c:formatCode>0.000</c:formatCode>
                <c:ptCount val="10"/>
                <c:pt idx="0">
                  <c:v>2.269996166229248</c:v>
                </c:pt>
                <c:pt idx="1">
                  <c:v>2.1774723529815674</c:v>
                </c:pt>
                <c:pt idx="2">
                  <c:v>2.0019707679748535</c:v>
                </c:pt>
                <c:pt idx="3">
                  <c:v>1.8392022848129272</c:v>
                </c:pt>
                <c:pt idx="4">
                  <c:v>1.689167857170105</c:v>
                </c:pt>
                <c:pt idx="5">
                  <c:v>1.5518671274185181</c:v>
                </c:pt>
                <c:pt idx="6">
                  <c:v>1.4272996187210083</c:v>
                </c:pt>
                <c:pt idx="7">
                  <c:v>1.3154656887054443</c:v>
                </c:pt>
                <c:pt idx="8">
                  <c:v>1.2163655757904053</c:v>
                </c:pt>
                <c:pt idx="9">
                  <c:v>1.1299995183944702</c:v>
                </c:pt>
              </c:numCache>
            </c:numRef>
          </c:val>
        </c:ser>
        <c:ser>
          <c:idx val="1"/>
          <c:order val="1"/>
          <c:tx>
            <c:strRef>
              <c:f>Bezier!$A$53</c:f>
              <c:strCache>
                <c:ptCount val="1"/>
                <c:pt idx="0">
                  <c:v>0.14</c:v>
                </c:pt>
              </c:strCache>
            </c:strRef>
          </c:tx>
          <c:cat>
            <c:strRef>
              <c:f>Bezier!$B$50:$K$51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Bezier!$B$53:$K$53</c:f>
              <c:numCache>
                <c:formatCode>0.000</c:formatCode>
                <c:ptCount val="10"/>
                <c:pt idx="0">
                  <c:v>2.0841982364654541</c:v>
                </c:pt>
                <c:pt idx="1">
                  <c:v>1.9976763725280762</c:v>
                </c:pt>
                <c:pt idx="2">
                  <c:v>1.8334882259368896</c:v>
                </c:pt>
                <c:pt idx="3">
                  <c:v>1.6811114549636841</c:v>
                </c:pt>
                <c:pt idx="4">
                  <c:v>1.5405467748641968</c:v>
                </c:pt>
                <c:pt idx="5">
                  <c:v>1.4117940664291382</c:v>
                </c:pt>
                <c:pt idx="6">
                  <c:v>1.2948527336120605</c:v>
                </c:pt>
                <c:pt idx="7">
                  <c:v>1.1897234916687012</c:v>
                </c:pt>
                <c:pt idx="8">
                  <c:v>1.0964058637619019</c:v>
                </c:pt>
                <c:pt idx="9">
                  <c:v>1.0149006843566895</c:v>
                </c:pt>
              </c:numCache>
            </c:numRef>
          </c:val>
        </c:ser>
        <c:ser>
          <c:idx val="2"/>
          <c:order val="2"/>
          <c:tx>
            <c:strRef>
              <c:f>Bezier!$A$54</c:f>
              <c:strCache>
                <c:ptCount val="1"/>
                <c:pt idx="0">
                  <c:v>0.18</c:v>
                </c:pt>
              </c:strCache>
            </c:strRef>
          </c:tx>
          <c:cat>
            <c:strRef>
              <c:f>Bezier!$B$50:$K$51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Bezier!$B$54:$K$54</c:f>
              <c:numCache>
                <c:formatCode>0.000</c:formatCode>
                <c:ptCount val="10"/>
                <c:pt idx="0">
                  <c:v>1.910798192024231</c:v>
                </c:pt>
                <c:pt idx="1">
                  <c:v>1.8298131227493286</c:v>
                </c:pt>
                <c:pt idx="2">
                  <c:v>1.67603600025177</c:v>
                </c:pt>
                <c:pt idx="3">
                  <c:v>1.5331872701644897</c:v>
                </c:pt>
                <c:pt idx="4">
                  <c:v>1.4012676477432251</c:v>
                </c:pt>
                <c:pt idx="5">
                  <c:v>1.2802767753601074</c:v>
                </c:pt>
                <c:pt idx="6">
                  <c:v>1.1702144145965576</c:v>
                </c:pt>
                <c:pt idx="7">
                  <c:v>1.0710809230804443</c:v>
                </c:pt>
                <c:pt idx="8">
                  <c:v>0.98287606239318848</c:v>
                </c:pt>
                <c:pt idx="9">
                  <c:v>0.90560054779052734</c:v>
                </c:pt>
              </c:numCache>
            </c:numRef>
          </c:val>
        </c:ser>
        <c:ser>
          <c:idx val="3"/>
          <c:order val="3"/>
          <c:tx>
            <c:strRef>
              <c:f>Bezier!$A$55</c:f>
              <c:strCache>
                <c:ptCount val="1"/>
                <c:pt idx="0">
                  <c:v>0.22</c:v>
                </c:pt>
              </c:strCache>
            </c:strRef>
          </c:tx>
          <c:cat>
            <c:strRef>
              <c:f>Bezier!$B$50:$K$51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Bezier!$B$55:$K$55</c:f>
              <c:numCache>
                <c:formatCode>0.000</c:formatCode>
                <c:ptCount val="10"/>
                <c:pt idx="0">
                  <c:v>1.7497987747192383</c:v>
                </c:pt>
                <c:pt idx="1">
                  <c:v>1.6738841533660889</c:v>
                </c:pt>
                <c:pt idx="2">
                  <c:v>1.5296158790588379</c:v>
                </c:pt>
                <c:pt idx="3">
                  <c:v>1.3954313993453979</c:v>
                </c:pt>
                <c:pt idx="4">
                  <c:v>1.271331787109375</c:v>
                </c:pt>
                <c:pt idx="5">
                  <c:v>1.1573166847229004</c:v>
                </c:pt>
                <c:pt idx="6">
                  <c:v>1.053385853767395</c:v>
                </c:pt>
                <c:pt idx="7">
                  <c:v>0.95953947305679321</c:v>
                </c:pt>
                <c:pt idx="8">
                  <c:v>0.87577760219573975</c:v>
                </c:pt>
                <c:pt idx="9">
                  <c:v>0.80210065841674805</c:v>
                </c:pt>
              </c:numCache>
            </c:numRef>
          </c:val>
        </c:ser>
        <c:ser>
          <c:idx val="4"/>
          <c:order val="4"/>
          <c:tx>
            <c:strRef>
              <c:f>Bezier!$A$56</c:f>
              <c:strCache>
                <c:ptCount val="1"/>
                <c:pt idx="0">
                  <c:v>0.26</c:v>
                </c:pt>
              </c:strCache>
            </c:strRef>
          </c:tx>
          <c:cat>
            <c:strRef>
              <c:f>Bezier!$B$50:$K$51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Bezier!$B$56:$K$56</c:f>
              <c:numCache>
                <c:formatCode>0.000</c:formatCode>
                <c:ptCount val="10"/>
                <c:pt idx="0">
                  <c:v>1.601198673248291</c:v>
                </c:pt>
                <c:pt idx="1">
                  <c:v>1.5298894643783569</c:v>
                </c:pt>
                <c:pt idx="2">
                  <c:v>1.3942270278930664</c:v>
                </c:pt>
                <c:pt idx="3">
                  <c:v>1.2678436040878296</c:v>
                </c:pt>
                <c:pt idx="4">
                  <c:v>1.1507391929626465</c:v>
                </c:pt>
                <c:pt idx="5">
                  <c:v>1.0429134368896484</c:v>
                </c:pt>
                <c:pt idx="6">
                  <c:v>0.94436675310134888</c:v>
                </c:pt>
                <c:pt idx="7">
                  <c:v>0.8550989031791687</c:v>
                </c:pt>
                <c:pt idx="8">
                  <c:v>0.77511006593704224</c:v>
                </c:pt>
                <c:pt idx="9">
                  <c:v>0.70440059900283813</c:v>
                </c:pt>
              </c:numCache>
            </c:numRef>
          </c:val>
        </c:ser>
        <c:ser>
          <c:idx val="5"/>
          <c:order val="5"/>
          <c:tx>
            <c:strRef>
              <c:f>Bezier!$A$57</c:f>
              <c:strCache>
                <c:ptCount val="1"/>
                <c:pt idx="0">
                  <c:v>0.3</c:v>
                </c:pt>
              </c:strCache>
            </c:strRef>
          </c:tx>
          <c:cat>
            <c:strRef>
              <c:f>Bezier!$B$50:$K$51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Bezier!$B$57:$K$57</c:f>
              <c:numCache>
                <c:formatCode>0.000</c:formatCode>
                <c:ptCount val="10"/>
                <c:pt idx="0">
                  <c:v>1.464998722076416</c:v>
                </c:pt>
                <c:pt idx="1">
                  <c:v>1.3978288173675537</c:v>
                </c:pt>
                <c:pt idx="2">
                  <c:v>1.2698701620101929</c:v>
                </c:pt>
                <c:pt idx="3">
                  <c:v>1.1504236459732056</c:v>
                </c:pt>
                <c:pt idx="4">
                  <c:v>1.0394895076751709</c:v>
                </c:pt>
                <c:pt idx="5">
                  <c:v>0.93706750869750977</c:v>
                </c:pt>
                <c:pt idx="6">
                  <c:v>0.84315735101699829</c:v>
                </c:pt>
                <c:pt idx="7">
                  <c:v>0.75775951147079468</c:v>
                </c:pt>
                <c:pt idx="8">
                  <c:v>0.68087375164031982</c:v>
                </c:pt>
                <c:pt idx="9">
                  <c:v>0.61250054836273193</c:v>
                </c:pt>
              </c:numCache>
            </c:numRef>
          </c:val>
        </c:ser>
        <c:ser>
          <c:idx val="6"/>
          <c:order val="6"/>
          <c:tx>
            <c:strRef>
              <c:f>Bezier!$A$58</c:f>
              <c:strCache>
                <c:ptCount val="1"/>
                <c:pt idx="0">
                  <c:v>0.34</c:v>
                </c:pt>
              </c:strCache>
            </c:strRef>
          </c:tx>
          <c:cat>
            <c:strRef>
              <c:f>Bezier!$B$50:$K$51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Bezier!$B$58:$K$58</c:f>
              <c:numCache>
                <c:formatCode>0.000</c:formatCode>
                <c:ptCount val="10"/>
                <c:pt idx="0">
                  <c:v>1.3411988019943237</c:v>
                </c:pt>
                <c:pt idx="1">
                  <c:v>1.2777024507522583</c:v>
                </c:pt>
                <c:pt idx="2">
                  <c:v>1.1565455198287964</c:v>
                </c:pt>
                <c:pt idx="3">
                  <c:v>1.0431722402572632</c:v>
                </c:pt>
                <c:pt idx="4">
                  <c:v>0.93758326768875122</c:v>
                </c:pt>
                <c:pt idx="5">
                  <c:v>0.83977848291397095</c:v>
                </c:pt>
                <c:pt idx="6">
                  <c:v>0.74975776672363281</c:v>
                </c:pt>
                <c:pt idx="7">
                  <c:v>0.66752105951309204</c:v>
                </c:pt>
                <c:pt idx="8">
                  <c:v>0.59306854009628296</c:v>
                </c:pt>
                <c:pt idx="9">
                  <c:v>0.52640050649642944</c:v>
                </c:pt>
              </c:numCache>
            </c:numRef>
          </c:val>
        </c:ser>
        <c:ser>
          <c:idx val="7"/>
          <c:order val="7"/>
          <c:tx>
            <c:strRef>
              <c:f>Bezier!$A$59</c:f>
              <c:strCache>
                <c:ptCount val="1"/>
                <c:pt idx="0">
                  <c:v>0.38</c:v>
                </c:pt>
              </c:strCache>
            </c:strRef>
          </c:tx>
          <c:cat>
            <c:strRef>
              <c:f>Bezier!$B$50:$K$51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Bezier!$B$59:$K$59</c:f>
              <c:numCache>
                <c:formatCode>0.000</c:formatCode>
                <c:ptCount val="10"/>
                <c:pt idx="0">
                  <c:v>1.2297987937927246</c:v>
                </c:pt>
                <c:pt idx="1">
                  <c:v>1.1695103645324707</c:v>
                </c:pt>
                <c:pt idx="2">
                  <c:v>1.0542522668838501</c:v>
                </c:pt>
                <c:pt idx="3">
                  <c:v>0.94608891010284424</c:v>
                </c:pt>
                <c:pt idx="4">
                  <c:v>0.84502041339874268</c:v>
                </c:pt>
                <c:pt idx="5">
                  <c:v>0.75104659795761108</c:v>
                </c:pt>
                <c:pt idx="6">
                  <c:v>0.66416776180267334</c:v>
                </c:pt>
                <c:pt idx="7">
                  <c:v>0.58438378572463989</c:v>
                </c:pt>
                <c:pt idx="8">
                  <c:v>0.51169449090957642</c:v>
                </c:pt>
                <c:pt idx="9">
                  <c:v>0.44610056281089783</c:v>
                </c:pt>
              </c:numCache>
            </c:numRef>
          </c:val>
        </c:ser>
        <c:ser>
          <c:idx val="8"/>
          <c:order val="8"/>
          <c:tx>
            <c:strRef>
              <c:f>Bezier!$A$60</c:f>
              <c:strCache>
                <c:ptCount val="1"/>
                <c:pt idx="0">
                  <c:v>0.42</c:v>
                </c:pt>
              </c:strCache>
            </c:strRef>
          </c:tx>
          <c:cat>
            <c:strRef>
              <c:f>Bezier!$B$50:$K$51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Bezier!$B$60:$K$60</c:f>
              <c:numCache>
                <c:formatCode>0.000</c:formatCode>
                <c:ptCount val="10"/>
                <c:pt idx="0">
                  <c:v>1.1307989358901978</c:v>
                </c:pt>
                <c:pt idx="1">
                  <c:v>1.0732525587081909</c:v>
                </c:pt>
                <c:pt idx="2">
                  <c:v>0.96299105882644653</c:v>
                </c:pt>
                <c:pt idx="3">
                  <c:v>0.85917371511459351</c:v>
                </c:pt>
                <c:pt idx="4">
                  <c:v>0.76180064678192139</c:v>
                </c:pt>
                <c:pt idx="5">
                  <c:v>0.67087197303771973</c:v>
                </c:pt>
                <c:pt idx="6">
                  <c:v>0.5863875150680542</c:v>
                </c:pt>
                <c:pt idx="7">
                  <c:v>0.50834745168685913</c:v>
                </c:pt>
                <c:pt idx="8">
                  <c:v>0.4367516040802002</c:v>
                </c:pt>
                <c:pt idx="9">
                  <c:v>0.37160056829452515</c:v>
                </c:pt>
              </c:numCache>
            </c:numRef>
          </c:val>
        </c:ser>
        <c:ser>
          <c:idx val="9"/>
          <c:order val="9"/>
          <c:tx>
            <c:strRef>
              <c:f>Bezier!$A$61</c:f>
              <c:strCache>
                <c:ptCount val="1"/>
                <c:pt idx="0">
                  <c:v>0.46</c:v>
                </c:pt>
              </c:strCache>
            </c:strRef>
          </c:tx>
          <c:cat>
            <c:strRef>
              <c:f>Bezier!$B$50:$K$51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Bezier!$B$61:$K$61</c:f>
              <c:numCache>
                <c:formatCode>0.000</c:formatCode>
                <c:ptCount val="10"/>
                <c:pt idx="0">
                  <c:v>1.0441989898681641</c:v>
                </c:pt>
                <c:pt idx="1">
                  <c:v>0.98892909288406372</c:v>
                </c:pt>
                <c:pt idx="2">
                  <c:v>0.88276159763336182</c:v>
                </c:pt>
                <c:pt idx="3">
                  <c:v>0.78242659568786621</c:v>
                </c:pt>
                <c:pt idx="4">
                  <c:v>0.68792414665222168</c:v>
                </c:pt>
                <c:pt idx="5">
                  <c:v>0.59925425052642822</c:v>
                </c:pt>
                <c:pt idx="6">
                  <c:v>0.51641690731048584</c:v>
                </c:pt>
                <c:pt idx="7">
                  <c:v>0.43941205739974976</c:v>
                </c:pt>
                <c:pt idx="8">
                  <c:v>0.36823976039886475</c:v>
                </c:pt>
                <c:pt idx="9">
                  <c:v>0.3029005229473114</c:v>
                </c:pt>
              </c:numCache>
            </c:numRef>
          </c:val>
        </c:ser>
        <c:ser>
          <c:idx val="10"/>
          <c:order val="10"/>
          <c:tx>
            <c:strRef>
              <c:f>Bezier!$A$62</c:f>
              <c:strCache>
                <c:ptCount val="1"/>
                <c:pt idx="0">
                  <c:v>0.5</c:v>
                </c:pt>
              </c:strCache>
            </c:strRef>
          </c:tx>
          <c:cat>
            <c:strRef>
              <c:f>Bezier!$B$50:$K$51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Bezier!$B$62:$K$62</c:f>
              <c:numCache>
                <c:formatCode>0.000</c:formatCode>
                <c:ptCount val="10"/>
                <c:pt idx="0">
                  <c:v>0.96999979019165039</c:v>
                </c:pt>
                <c:pt idx="1">
                  <c:v>0.91654050350189209</c:v>
                </c:pt>
                <c:pt idx="2">
                  <c:v>0.81356477737426758</c:v>
                </c:pt>
                <c:pt idx="3">
                  <c:v>0.71584832668304443</c:v>
                </c:pt>
                <c:pt idx="4">
                  <c:v>0.62339156866073608</c:v>
                </c:pt>
                <c:pt idx="5">
                  <c:v>0.5361943244934082</c:v>
                </c:pt>
                <c:pt idx="6">
                  <c:v>0.45425659418106079</c:v>
                </c:pt>
                <c:pt idx="7">
                  <c:v>0.37757843732833862</c:v>
                </c:pt>
                <c:pt idx="8">
                  <c:v>0.30615976452827454</c:v>
                </c:pt>
                <c:pt idx="9">
                  <c:v>0.24000115692615509</c:v>
                </c:pt>
              </c:numCache>
            </c:numRef>
          </c:val>
        </c:ser>
        <c:bandFmts/>
        <c:axId val="122442752"/>
        <c:axId val="122558656"/>
        <c:axId val="121646208"/>
      </c:surface3DChart>
      <c:catAx>
        <c:axId val="12244275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>
                    <a:latin typeface="+mn-lt"/>
                    <a:cs typeface="Times New Roman"/>
                  </a:rPr>
                  <a:t>(ξ)</a:t>
                </a:r>
                <a:endParaRPr lang="en-CA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0.32465935411289787"/>
              <c:y val="0.88379702537182847"/>
            </c:manualLayout>
          </c:layout>
          <c:overlay val="0"/>
        </c:title>
        <c:majorTickMark val="out"/>
        <c:minorTickMark val="none"/>
        <c:tickLblPos val="nextTo"/>
        <c:crossAx val="122558656"/>
        <c:crosses val="autoZero"/>
        <c:auto val="1"/>
        <c:lblAlgn val="ctr"/>
        <c:lblOffset val="100"/>
        <c:noMultiLvlLbl val="0"/>
      </c:catAx>
      <c:valAx>
        <c:axId val="122558656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/>
                  <a:t>Tensile strain capacity in (%)</a:t>
                </a:r>
              </a:p>
            </c:rich>
          </c:tx>
          <c:layout>
            <c:manualLayout>
              <c:xMode val="edge"/>
              <c:yMode val="edge"/>
              <c:x val="6.9157401892660966E-2"/>
              <c:y val="2.1293379994167399E-2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122442752"/>
        <c:crosses val="autoZero"/>
        <c:crossBetween val="midCat"/>
      </c:valAx>
      <c:serAx>
        <c:axId val="121646208"/>
        <c:scaling>
          <c:orientation val="maxMin"/>
        </c:scaling>
        <c:delete val="0"/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/>
                  <a:t>(</a:t>
                </a:r>
                <a:r>
                  <a:rPr lang="el-GR">
                    <a:latin typeface="Times New Roman"/>
                    <a:cs typeface="Times New Roman"/>
                  </a:rPr>
                  <a:t>η</a:t>
                </a:r>
                <a:r>
                  <a:rPr lang="en-CA"/>
                  <a:t>)</a:t>
                </a:r>
              </a:p>
            </c:rich>
          </c:tx>
          <c:layout>
            <c:manualLayout>
              <c:xMode val="edge"/>
              <c:yMode val="edge"/>
              <c:x val="0.70270878829991401"/>
              <c:y val="0.67665864683581212"/>
            </c:manualLayout>
          </c:layout>
          <c:overlay val="0"/>
        </c:title>
        <c:majorTickMark val="out"/>
        <c:minorTickMark val="none"/>
        <c:tickLblPos val="nextTo"/>
        <c:crossAx val="122558656"/>
        <c:crosses val="autoZero"/>
      </c:serAx>
    </c:plotArea>
    <c:legend>
      <c:legendPos val="r"/>
      <c:layout>
        <c:manualLayout>
          <c:xMode val="edge"/>
          <c:yMode val="edge"/>
          <c:x val="0.87937542506836275"/>
          <c:y val="0.26628572470107903"/>
          <c:w val="0.10811525274271697"/>
          <c:h val="0.41858595800524934"/>
        </c:manualLayout>
      </c:layout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l-GR" sz="1200">
                <a:latin typeface="Times New Roman"/>
                <a:cs typeface="Times New Roman"/>
              </a:rPr>
              <a:t>λ</a:t>
            </a:r>
            <a:r>
              <a:rPr lang="en-CA" sz="1200">
                <a:latin typeface="Times New Roman"/>
                <a:cs typeface="Times New Roman"/>
              </a:rPr>
              <a:t>=0.8</a:t>
            </a:r>
          </a:p>
          <a:p>
            <a:pPr>
              <a:defRPr/>
            </a:pPr>
            <a:r>
              <a:rPr lang="el-GR" sz="1200">
                <a:latin typeface="Times New Roman"/>
                <a:cs typeface="Times New Roman"/>
              </a:rPr>
              <a:t>δ</a:t>
            </a:r>
            <a:r>
              <a:rPr lang="en-CA" sz="1200">
                <a:latin typeface="Times New Roman"/>
                <a:cs typeface="Times New Roman"/>
              </a:rPr>
              <a:t>=0.2</a:t>
            </a:r>
            <a:endParaRPr lang="en-CA" sz="1200"/>
          </a:p>
        </c:rich>
      </c:tx>
      <c:layout>
        <c:manualLayout>
          <c:xMode val="edge"/>
          <c:yMode val="edge"/>
          <c:x val="0.7712227847263583"/>
          <c:y val="8.3333333333333329E-2"/>
        </c:manualLayout>
      </c:layout>
      <c:overlay val="0"/>
    </c:title>
    <c:autoTitleDeleted val="0"/>
    <c:view3D>
      <c:rotX val="15"/>
      <c:rotY val="2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9.4131592879359391E-2"/>
          <c:y val="2.8252405949256341E-2"/>
          <c:w val="0.63798309178743973"/>
          <c:h val="0.8231248177311169"/>
        </c:manualLayout>
      </c:layout>
      <c:surface3DChart>
        <c:wireframe val="0"/>
        <c:ser>
          <c:idx val="0"/>
          <c:order val="0"/>
          <c:tx>
            <c:strRef>
              <c:f>Bezier!$A$66</c:f>
              <c:strCache>
                <c:ptCount val="1"/>
                <c:pt idx="0">
                  <c:v>0.1</c:v>
                </c:pt>
              </c:strCache>
            </c:strRef>
          </c:tx>
          <c:cat>
            <c:strRef>
              <c:f>Bezier!$B$64:$K$65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Bezier!$B$66:$K$66</c:f>
              <c:numCache>
                <c:formatCode>0.000</c:formatCode>
                <c:ptCount val="10"/>
                <c:pt idx="0">
                  <c:v>2.2699956893920898</c:v>
                </c:pt>
                <c:pt idx="1">
                  <c:v>2.1564452648162842</c:v>
                </c:pt>
                <c:pt idx="2">
                  <c:v>1.9528303146362305</c:v>
                </c:pt>
                <c:pt idx="3">
                  <c:v>1.7779957056045532</c:v>
                </c:pt>
                <c:pt idx="4">
                  <c:v>1.6286559104919434</c:v>
                </c:pt>
                <c:pt idx="5">
                  <c:v>1.5012466907501221</c:v>
                </c:pt>
                <c:pt idx="6">
                  <c:v>1.3919291496276855</c:v>
                </c:pt>
                <c:pt idx="7">
                  <c:v>1.2965884208679199</c:v>
                </c:pt>
                <c:pt idx="8">
                  <c:v>1.2108339071273804</c:v>
                </c:pt>
                <c:pt idx="9">
                  <c:v>1.1299993991851807</c:v>
                </c:pt>
              </c:numCache>
            </c:numRef>
          </c:val>
        </c:ser>
        <c:ser>
          <c:idx val="1"/>
          <c:order val="1"/>
          <c:tx>
            <c:strRef>
              <c:f>Bezier!$A$67</c:f>
              <c:strCache>
                <c:ptCount val="1"/>
                <c:pt idx="0">
                  <c:v>0.14</c:v>
                </c:pt>
              </c:strCache>
            </c:strRef>
          </c:tx>
          <c:cat>
            <c:strRef>
              <c:f>Bezier!$B$64:$K$65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Bezier!$B$67:$K$67</c:f>
              <c:numCache>
                <c:formatCode>0.000</c:formatCode>
                <c:ptCount val="10"/>
                <c:pt idx="0">
                  <c:v>2.0653877258300781</c:v>
                </c:pt>
                <c:pt idx="1">
                  <c:v>1.9601808786392212</c:v>
                </c:pt>
                <c:pt idx="2">
                  <c:v>1.7712925672531128</c:v>
                </c:pt>
                <c:pt idx="3">
                  <c:v>1.6088602542877197</c:v>
                </c:pt>
                <c:pt idx="4">
                  <c:v>1.4699521064758301</c:v>
                </c:pt>
                <c:pt idx="5">
                  <c:v>1.3513647317886353</c:v>
                </c:pt>
                <c:pt idx="6">
                  <c:v>1.2496287822723389</c:v>
                </c:pt>
                <c:pt idx="7">
                  <c:v>1.1610052585601807</c:v>
                </c:pt>
                <c:pt idx="8">
                  <c:v>1.0814875364303589</c:v>
                </c:pt>
                <c:pt idx="9">
                  <c:v>1.0068005323410034</c:v>
                </c:pt>
              </c:numCache>
            </c:numRef>
          </c:val>
        </c:ser>
        <c:ser>
          <c:idx val="2"/>
          <c:order val="2"/>
          <c:tx>
            <c:strRef>
              <c:f>Bezier!$A$68</c:f>
              <c:strCache>
                <c:ptCount val="1"/>
                <c:pt idx="0">
                  <c:v>0.18</c:v>
                </c:pt>
              </c:strCache>
            </c:strRef>
          </c:tx>
          <c:cat>
            <c:strRef>
              <c:f>Bezier!$B$64:$K$65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Bezier!$B$68:$K$68</c:f>
              <c:numCache>
                <c:formatCode>0.000</c:formatCode>
                <c:ptCount val="10"/>
                <c:pt idx="0">
                  <c:v>1.8823177814483643</c:v>
                </c:pt>
                <c:pt idx="1">
                  <c:v>1.7845580577850342</c:v>
                </c:pt>
                <c:pt idx="2">
                  <c:v>1.608803391456604</c:v>
                </c:pt>
                <c:pt idx="3">
                  <c:v>1.4574112892150879</c:v>
                </c:pt>
                <c:pt idx="4">
                  <c:v>1.3277523517608643</c:v>
                </c:pt>
                <c:pt idx="5">
                  <c:v>1.2169243097305298</c:v>
                </c:pt>
                <c:pt idx="6">
                  <c:v>1.1217541694641113</c:v>
                </c:pt>
                <c:pt idx="7">
                  <c:v>1.0387988090515137</c:v>
                </c:pt>
                <c:pt idx="8">
                  <c:v>0.96434259414672852</c:v>
                </c:pt>
                <c:pt idx="9">
                  <c:v>0.89440047740936279</c:v>
                </c:pt>
              </c:numCache>
            </c:numRef>
          </c:val>
        </c:ser>
        <c:ser>
          <c:idx val="3"/>
          <c:order val="3"/>
          <c:tx>
            <c:strRef>
              <c:f>Bezier!$A$69</c:f>
              <c:strCache>
                <c:ptCount val="1"/>
                <c:pt idx="0">
                  <c:v>0.22</c:v>
                </c:pt>
              </c:strCache>
            </c:strRef>
          </c:tx>
          <c:cat>
            <c:strRef>
              <c:f>Bezier!$B$64:$K$65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Bezier!$B$69:$K$69</c:f>
              <c:numCache>
                <c:formatCode>0.000</c:formatCode>
                <c:ptCount val="10"/>
                <c:pt idx="0">
                  <c:v>1.7189284563064575</c:v>
                </c:pt>
                <c:pt idx="1">
                  <c:v>1.6277745962142944</c:v>
                </c:pt>
                <c:pt idx="2">
                  <c:v>1.4636603593826294</c:v>
                </c:pt>
                <c:pt idx="3">
                  <c:v>1.322029709815979</c:v>
                </c:pt>
                <c:pt idx="4">
                  <c:v>1.2005057334899902</c:v>
                </c:pt>
                <c:pt idx="5">
                  <c:v>1.0964285135269165</c:v>
                </c:pt>
                <c:pt idx="6">
                  <c:v>1.0068594217300415</c:v>
                </c:pt>
                <c:pt idx="7">
                  <c:v>0.92857837677001953</c:v>
                </c:pt>
                <c:pt idx="8">
                  <c:v>0.85808545351028442</c:v>
                </c:pt>
                <c:pt idx="9">
                  <c:v>0.79160070419311523</c:v>
                </c:pt>
              </c:numCache>
            </c:numRef>
          </c:val>
        </c:ser>
        <c:ser>
          <c:idx val="4"/>
          <c:order val="4"/>
          <c:tx>
            <c:strRef>
              <c:f>Bezier!$A$70</c:f>
              <c:strCache>
                <c:ptCount val="1"/>
                <c:pt idx="0">
                  <c:v>0.26</c:v>
                </c:pt>
              </c:strCache>
            </c:strRef>
          </c:tx>
          <c:cat>
            <c:strRef>
              <c:f>Bezier!$B$64:$K$65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Bezier!$B$70:$K$70</c:f>
              <c:numCache>
                <c:formatCode>0.000</c:formatCode>
                <c:ptCount val="10"/>
                <c:pt idx="0">
                  <c:v>1.573358416557312</c:v>
                </c:pt>
                <c:pt idx="1">
                  <c:v>1.4880244731903076</c:v>
                </c:pt>
                <c:pt idx="2">
                  <c:v>1.3341571092605591</c:v>
                </c:pt>
                <c:pt idx="3">
                  <c:v>1.2010934352874756</c:v>
                </c:pt>
                <c:pt idx="4">
                  <c:v>1.0866576433181763</c:v>
                </c:pt>
                <c:pt idx="5">
                  <c:v>0.98837900161743164</c:v>
                </c:pt>
                <c:pt idx="6">
                  <c:v>0.90349555015563965</c:v>
                </c:pt>
                <c:pt idx="7">
                  <c:v>0.8289521336555481</c:v>
                </c:pt>
                <c:pt idx="8">
                  <c:v>0.76140052080154419</c:v>
                </c:pt>
                <c:pt idx="9">
                  <c:v>0.69720059633255005</c:v>
                </c:pt>
              </c:numCache>
            </c:numRef>
          </c:val>
        </c:ser>
        <c:ser>
          <c:idx val="5"/>
          <c:order val="5"/>
          <c:tx>
            <c:strRef>
              <c:f>Bezier!$A$71</c:f>
              <c:strCache>
                <c:ptCount val="1"/>
                <c:pt idx="0">
                  <c:v>0.3</c:v>
                </c:pt>
              </c:strCache>
            </c:strRef>
          </c:tx>
          <c:cat>
            <c:strRef>
              <c:f>Bezier!$B$64:$K$65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Bezier!$B$71:$K$71</c:f>
              <c:numCache>
                <c:formatCode>0.000</c:formatCode>
                <c:ptCount val="10"/>
                <c:pt idx="0">
                  <c:v>1.4437484741210938</c:v>
                </c:pt>
                <c:pt idx="1">
                  <c:v>1.3635034561157227</c:v>
                </c:pt>
                <c:pt idx="2">
                  <c:v>1.2185895442962646</c:v>
                </c:pt>
                <c:pt idx="3">
                  <c:v>1.0929818153381348</c:v>
                </c:pt>
                <c:pt idx="4">
                  <c:v>0.98465472459793091</c:v>
                </c:pt>
                <c:pt idx="5">
                  <c:v>0.89127761125564575</c:v>
                </c:pt>
                <c:pt idx="6">
                  <c:v>0.8102155327796936</c:v>
                </c:pt>
                <c:pt idx="7">
                  <c:v>0.73852890729904175</c:v>
                </c:pt>
                <c:pt idx="8">
                  <c:v>0.67297327518463135</c:v>
                </c:pt>
                <c:pt idx="9">
                  <c:v>0.61000049114227295</c:v>
                </c:pt>
              </c:numCache>
            </c:numRef>
          </c:val>
        </c:ser>
        <c:ser>
          <c:idx val="6"/>
          <c:order val="6"/>
          <c:tx>
            <c:strRef>
              <c:f>Bezier!$A$72</c:f>
              <c:strCache>
                <c:ptCount val="1"/>
                <c:pt idx="0">
                  <c:v>0.34</c:v>
                </c:pt>
              </c:strCache>
            </c:strRef>
          </c:tx>
          <c:cat>
            <c:strRef>
              <c:f>Bezier!$B$64:$K$65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Bezier!$B$72:$K$72</c:f>
              <c:numCache>
                <c:formatCode>0.000</c:formatCode>
                <c:ptCount val="10"/>
                <c:pt idx="0">
                  <c:v>1.3282384872436523</c:v>
                </c:pt>
                <c:pt idx="1">
                  <c:v>1.2524063587188721</c:v>
                </c:pt>
                <c:pt idx="2">
                  <c:v>1.1152527332305908</c:v>
                </c:pt>
                <c:pt idx="3">
                  <c:v>0.99607330560684204</c:v>
                </c:pt>
                <c:pt idx="4">
                  <c:v>0.89294379949569702</c:v>
                </c:pt>
                <c:pt idx="5">
                  <c:v>0.80362635850906372</c:v>
                </c:pt>
                <c:pt idx="6">
                  <c:v>0.72557133436203003</c:v>
                </c:pt>
                <c:pt idx="7">
                  <c:v>0.65591675043106079</c:v>
                </c:pt>
                <c:pt idx="8">
                  <c:v>0.59148848056793213</c:v>
                </c:pt>
                <c:pt idx="9">
                  <c:v>0.52880048751831055</c:v>
                </c:pt>
              </c:numCache>
            </c:numRef>
          </c:val>
        </c:ser>
        <c:ser>
          <c:idx val="7"/>
          <c:order val="7"/>
          <c:tx>
            <c:strRef>
              <c:f>Bezier!$A$73</c:f>
              <c:strCache>
                <c:ptCount val="1"/>
                <c:pt idx="0">
                  <c:v>0.38</c:v>
                </c:pt>
              </c:strCache>
            </c:strRef>
          </c:tx>
          <c:cat>
            <c:strRef>
              <c:f>Bezier!$B$64:$K$65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Bezier!$B$73:$K$73</c:f>
              <c:numCache>
                <c:formatCode>0.000</c:formatCode>
                <c:ptCount val="10"/>
                <c:pt idx="0">
                  <c:v>1.2249685525894165</c:v>
                </c:pt>
                <c:pt idx="1">
                  <c:v>1.1529284715652466</c:v>
                </c:pt>
                <c:pt idx="2">
                  <c:v>1.0224411487579346</c:v>
                </c:pt>
                <c:pt idx="3">
                  <c:v>0.90874683856964111</c:v>
                </c:pt>
                <c:pt idx="4">
                  <c:v>0.8099709153175354</c:v>
                </c:pt>
                <c:pt idx="5">
                  <c:v>0.72392666339874268</c:v>
                </c:pt>
                <c:pt idx="6">
                  <c:v>0.64811486005783081</c:v>
                </c:pt>
                <c:pt idx="7">
                  <c:v>0.57972425222396851</c:v>
                </c:pt>
                <c:pt idx="8">
                  <c:v>0.51563119888305664</c:v>
                </c:pt>
                <c:pt idx="9">
                  <c:v>0.4524005651473999</c:v>
                </c:pt>
              </c:numCache>
            </c:numRef>
          </c:val>
        </c:ser>
        <c:ser>
          <c:idx val="8"/>
          <c:order val="8"/>
          <c:tx>
            <c:strRef>
              <c:f>Bezier!$A$74</c:f>
              <c:strCache>
                <c:ptCount val="1"/>
                <c:pt idx="0">
                  <c:v>0.42</c:v>
                </c:pt>
              </c:strCache>
            </c:strRef>
          </c:tx>
          <c:cat>
            <c:strRef>
              <c:f>Bezier!$B$64:$K$65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Bezier!$B$74:$K$74</c:f>
              <c:numCache>
                <c:formatCode>0.000</c:formatCode>
                <c:ptCount val="10"/>
                <c:pt idx="0">
                  <c:v>1.1320787668228149</c:v>
                </c:pt>
                <c:pt idx="1">
                  <c:v>1.0632649660110474</c:v>
                </c:pt>
                <c:pt idx="2">
                  <c:v>0.93845051527023315</c:v>
                </c:pt>
                <c:pt idx="3">
                  <c:v>0.82938110828399658</c:v>
                </c:pt>
                <c:pt idx="4">
                  <c:v>0.73418289422988892</c:v>
                </c:pt>
                <c:pt idx="5">
                  <c:v>0.65068060159683228</c:v>
                </c:pt>
                <c:pt idx="6">
                  <c:v>0.57639855146408081</c:v>
                </c:pt>
                <c:pt idx="7">
                  <c:v>0.50855964422225952</c:v>
                </c:pt>
                <c:pt idx="8">
                  <c:v>0.44408628344535828</c:v>
                </c:pt>
                <c:pt idx="9">
                  <c:v>0.37960058450698853</c:v>
                </c:pt>
              </c:numCache>
            </c:numRef>
          </c:val>
        </c:ser>
        <c:ser>
          <c:idx val="9"/>
          <c:order val="9"/>
          <c:tx>
            <c:strRef>
              <c:f>Bezier!$A$75</c:f>
              <c:strCache>
                <c:ptCount val="1"/>
                <c:pt idx="0">
                  <c:v>0.46</c:v>
                </c:pt>
              </c:strCache>
            </c:strRef>
          </c:tx>
          <c:cat>
            <c:strRef>
              <c:f>Bezier!$B$64:$K$65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Bezier!$B$75:$K$75</c:f>
              <c:numCache>
                <c:formatCode>0.000</c:formatCode>
                <c:ptCount val="10"/>
                <c:pt idx="0">
                  <c:v>1.0477087497711182</c:v>
                </c:pt>
                <c:pt idx="1">
                  <c:v>0.98161053657531738</c:v>
                </c:pt>
                <c:pt idx="2">
                  <c:v>0.86157500743865967</c:v>
                </c:pt>
                <c:pt idx="3">
                  <c:v>0.75635451078414917</c:v>
                </c:pt>
                <c:pt idx="4">
                  <c:v>0.66402560472488403</c:v>
                </c:pt>
                <c:pt idx="5">
                  <c:v>0.58238977193832397</c:v>
                </c:pt>
                <c:pt idx="6">
                  <c:v>0.50897407531738281</c:v>
                </c:pt>
                <c:pt idx="7">
                  <c:v>0.44103115797042847</c:v>
                </c:pt>
                <c:pt idx="8">
                  <c:v>0.37553867697715759</c:v>
                </c:pt>
                <c:pt idx="9">
                  <c:v>0.30920055508613586</c:v>
                </c:pt>
              </c:numCache>
            </c:numRef>
          </c:val>
        </c:ser>
        <c:ser>
          <c:idx val="10"/>
          <c:order val="10"/>
          <c:tx>
            <c:strRef>
              <c:f>Bezier!$A$76</c:f>
              <c:strCache>
                <c:ptCount val="1"/>
                <c:pt idx="0">
                  <c:v>0.5</c:v>
                </c:pt>
              </c:strCache>
            </c:strRef>
          </c:tx>
          <c:cat>
            <c:strRef>
              <c:f>Bezier!$B$64:$K$65</c:f>
              <c:strCache>
                <c:ptCount val="10"/>
                <c:pt idx="0">
                  <c:v>1.5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</c:strCache>
            </c:strRef>
          </c:cat>
          <c:val>
            <c:numRef>
              <c:f>Bezier!$B$76:$K$76</c:f>
              <c:numCache>
                <c:formatCode>0.000</c:formatCode>
                <c:ptCount val="10"/>
                <c:pt idx="0">
                  <c:v>0.96999961137771606</c:v>
                </c:pt>
                <c:pt idx="1">
                  <c:v>0.90616136789321899</c:v>
                </c:pt>
                <c:pt idx="2">
                  <c:v>0.79011112451553345</c:v>
                </c:pt>
                <c:pt idx="3">
                  <c:v>0.68804687261581421</c:v>
                </c:pt>
                <c:pt idx="4">
                  <c:v>0.59794646501541138</c:v>
                </c:pt>
                <c:pt idx="5">
                  <c:v>0.51755666732788086</c:v>
                </c:pt>
                <c:pt idx="6">
                  <c:v>0.44439470767974854</c:v>
                </c:pt>
                <c:pt idx="7">
                  <c:v>0.37574806809425354</c:v>
                </c:pt>
                <c:pt idx="8">
                  <c:v>0.308674156665802</c:v>
                </c:pt>
                <c:pt idx="9">
                  <c:v>0.24000130593776703</c:v>
                </c:pt>
              </c:numCache>
            </c:numRef>
          </c:val>
        </c:ser>
        <c:bandFmts/>
        <c:axId val="244033024"/>
        <c:axId val="171573248"/>
        <c:axId val="136882048"/>
      </c:surface3DChart>
      <c:catAx>
        <c:axId val="24403302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CA">
                    <a:latin typeface="+mn-lt"/>
                    <a:cs typeface="Times New Roman"/>
                  </a:rPr>
                  <a:t>(ξ)</a:t>
                </a:r>
                <a:endParaRPr lang="en-CA">
                  <a:latin typeface="+mn-lt"/>
                </a:endParaRPr>
              </a:p>
            </c:rich>
          </c:tx>
          <c:layout>
            <c:manualLayout>
              <c:xMode val="edge"/>
              <c:yMode val="edge"/>
              <c:x val="0.32465935411289787"/>
              <c:y val="0.88379702537182847"/>
            </c:manualLayout>
          </c:layout>
          <c:overlay val="0"/>
        </c:title>
        <c:majorTickMark val="out"/>
        <c:minorTickMark val="none"/>
        <c:tickLblPos val="nextTo"/>
        <c:crossAx val="171573248"/>
        <c:crosses val="autoZero"/>
        <c:auto val="1"/>
        <c:lblAlgn val="ctr"/>
        <c:lblOffset val="100"/>
        <c:noMultiLvlLbl val="0"/>
      </c:catAx>
      <c:valAx>
        <c:axId val="171573248"/>
        <c:scaling>
          <c:orientation val="minMax"/>
        </c:scaling>
        <c:delete val="0"/>
        <c:axPos val="l"/>
        <c:majorGridlines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/>
                  <a:t>Tensile strain capacity in (%)</a:t>
                </a:r>
              </a:p>
            </c:rich>
          </c:tx>
          <c:layout>
            <c:manualLayout>
              <c:xMode val="edge"/>
              <c:yMode val="edge"/>
              <c:x val="6.9157401892660966E-2"/>
              <c:y val="2.1293379994167399E-2"/>
            </c:manualLayout>
          </c:layout>
          <c:overlay val="0"/>
        </c:title>
        <c:numFmt formatCode="0.0" sourceLinked="0"/>
        <c:majorTickMark val="out"/>
        <c:minorTickMark val="none"/>
        <c:tickLblPos val="nextTo"/>
        <c:crossAx val="244033024"/>
        <c:crosses val="autoZero"/>
        <c:crossBetween val="midCat"/>
      </c:valAx>
      <c:serAx>
        <c:axId val="136882048"/>
        <c:scaling>
          <c:orientation val="maxMin"/>
        </c:scaling>
        <c:delete val="0"/>
        <c:axPos val="b"/>
        <c:title>
          <c:tx>
            <c:rich>
              <a:bodyPr rot="0" vert="horz"/>
              <a:lstStyle/>
              <a:p>
                <a:pPr>
                  <a:defRPr/>
                </a:pPr>
                <a:r>
                  <a:rPr lang="en-CA"/>
                  <a:t>(</a:t>
                </a:r>
                <a:r>
                  <a:rPr lang="el-GR">
                    <a:latin typeface="Times New Roman"/>
                    <a:cs typeface="Times New Roman"/>
                  </a:rPr>
                  <a:t>η</a:t>
                </a:r>
                <a:r>
                  <a:rPr lang="en-CA"/>
                  <a:t>)</a:t>
                </a:r>
              </a:p>
            </c:rich>
          </c:tx>
          <c:layout>
            <c:manualLayout>
              <c:xMode val="edge"/>
              <c:yMode val="edge"/>
              <c:x val="0.70270878829991401"/>
              <c:y val="0.67665864683581212"/>
            </c:manualLayout>
          </c:layout>
          <c:overlay val="0"/>
        </c:title>
        <c:majorTickMark val="out"/>
        <c:minorTickMark val="none"/>
        <c:tickLblPos val="nextTo"/>
        <c:crossAx val="171573248"/>
        <c:crosses val="autoZero"/>
      </c:serAx>
    </c:plotArea>
    <c:legend>
      <c:legendPos val="r"/>
      <c:layout>
        <c:manualLayout>
          <c:xMode val="edge"/>
          <c:yMode val="edge"/>
          <c:x val="0.87937542506836275"/>
          <c:y val="0.23850794692330127"/>
          <c:w val="0.10811525274271697"/>
          <c:h val="0.41858595800524934"/>
        </c:manualLayout>
      </c:layout>
      <c:overlay val="0"/>
      <c:txPr>
        <a:bodyPr/>
        <a:lstStyle/>
        <a:p>
          <a:pPr rtl="0">
            <a:defRPr/>
          </a:pPr>
          <a:endParaRPr lang="en-US"/>
        </a:p>
      </c:txPr>
    </c:legend>
    <c:plotVisOnly val="1"/>
    <c:dispBlanksAs val="zero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 sz="1200"/>
              <a:t>Basis functions of a (4,3) surface in </a:t>
            </a:r>
            <a:r>
              <a:rPr lang="el-GR" sz="1200">
                <a:latin typeface="Times New Roman"/>
                <a:cs typeface="Times New Roman"/>
              </a:rPr>
              <a:t>ξ</a:t>
            </a:r>
            <a:r>
              <a:rPr lang="en-CA" sz="1200">
                <a:latin typeface="Times New Roman"/>
                <a:cs typeface="Times New Roman"/>
              </a:rPr>
              <a:t> - direction</a:t>
            </a:r>
            <a:endParaRPr lang="en-CA" sz="1200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Bezier!$K$15</c:f>
              <c:strCache>
                <c:ptCount val="1"/>
                <c:pt idx="0">
                  <c:v>Bm,0</c:v>
                </c:pt>
              </c:strCache>
            </c:strRef>
          </c:tx>
          <c:marker>
            <c:symbol val="none"/>
          </c:marker>
          <c:xVal>
            <c:numRef>
              <c:f>Bezier!$J$16:$J$26</c:f>
              <c:numCache>
                <c:formatCode>0.0</c:formatCode>
                <c:ptCount val="11"/>
                <c:pt idx="0" formatCode="General">
                  <c:v>9.9999999999999995E-8</c:v>
                </c:pt>
                <c:pt idx="1">
                  <c:v>0.1</c:v>
                </c:pt>
                <c:pt idx="2" formatCode="General">
                  <c:v>0.2</c:v>
                </c:pt>
                <c:pt idx="3" formatCode="General">
                  <c:v>0.3</c:v>
                </c:pt>
                <c:pt idx="4">
                  <c:v>0.4</c:v>
                </c:pt>
                <c:pt idx="5" formatCode="General">
                  <c:v>0.5</c:v>
                </c:pt>
                <c:pt idx="6" formatCode="General">
                  <c:v>0.6</c:v>
                </c:pt>
                <c:pt idx="7">
                  <c:v>0.7</c:v>
                </c:pt>
                <c:pt idx="8" formatCode="General">
                  <c:v>0.8</c:v>
                </c:pt>
                <c:pt idx="9" formatCode="General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Bezier!$K$16:$K$26</c:f>
              <c:numCache>
                <c:formatCode>General</c:formatCode>
                <c:ptCount val="11"/>
                <c:pt idx="0">
                  <c:v>0.99999960000006016</c:v>
                </c:pt>
                <c:pt idx="1">
                  <c:v>0.65610000000000013</c:v>
                </c:pt>
                <c:pt idx="2">
                  <c:v>0.40960000000000019</c:v>
                </c:pt>
                <c:pt idx="3">
                  <c:v>0.2400999999999999</c:v>
                </c:pt>
                <c:pt idx="4">
                  <c:v>0.12959999999999999</c:v>
                </c:pt>
                <c:pt idx="5">
                  <c:v>6.25E-2</c:v>
                </c:pt>
                <c:pt idx="6">
                  <c:v>2.5600000000000012E-2</c:v>
                </c:pt>
                <c:pt idx="7">
                  <c:v>8.1000000000000048E-3</c:v>
                </c:pt>
                <c:pt idx="8">
                  <c:v>1.5999999999999983E-3</c:v>
                </c:pt>
                <c:pt idx="9">
                  <c:v>9.9999999999999896E-5</c:v>
                </c:pt>
                <c:pt idx="10">
                  <c:v>0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Bezier!$L$15</c:f>
              <c:strCache>
                <c:ptCount val="1"/>
                <c:pt idx="0">
                  <c:v>Bm,1</c:v>
                </c:pt>
              </c:strCache>
            </c:strRef>
          </c:tx>
          <c:marker>
            <c:symbol val="none"/>
          </c:marker>
          <c:xVal>
            <c:numRef>
              <c:f>Bezier!$J$16:$J$26</c:f>
              <c:numCache>
                <c:formatCode>0.0</c:formatCode>
                <c:ptCount val="11"/>
                <c:pt idx="0" formatCode="General">
                  <c:v>9.9999999999999995E-8</c:v>
                </c:pt>
                <c:pt idx="1">
                  <c:v>0.1</c:v>
                </c:pt>
                <c:pt idx="2" formatCode="General">
                  <c:v>0.2</c:v>
                </c:pt>
                <c:pt idx="3" formatCode="General">
                  <c:v>0.3</c:v>
                </c:pt>
                <c:pt idx="4">
                  <c:v>0.4</c:v>
                </c:pt>
                <c:pt idx="5" formatCode="General">
                  <c:v>0.5</c:v>
                </c:pt>
                <c:pt idx="6" formatCode="General">
                  <c:v>0.6</c:v>
                </c:pt>
                <c:pt idx="7">
                  <c:v>0.7</c:v>
                </c:pt>
                <c:pt idx="8" formatCode="General">
                  <c:v>0.8</c:v>
                </c:pt>
                <c:pt idx="9" formatCode="General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Bezier!$L$16:$L$26</c:f>
              <c:numCache>
                <c:formatCode>General</c:formatCode>
                <c:ptCount val="11"/>
                <c:pt idx="0">
                  <c:v>3.9999988000001204E-7</c:v>
                </c:pt>
                <c:pt idx="1">
                  <c:v>0.29160000000000008</c:v>
                </c:pt>
                <c:pt idx="2">
                  <c:v>0.40960000000000019</c:v>
                </c:pt>
                <c:pt idx="3">
                  <c:v>0.41159999999999991</c:v>
                </c:pt>
                <c:pt idx="4">
                  <c:v>0.34560000000000007</c:v>
                </c:pt>
                <c:pt idx="5">
                  <c:v>0.25</c:v>
                </c:pt>
                <c:pt idx="6">
                  <c:v>0.15360000000000001</c:v>
                </c:pt>
                <c:pt idx="7">
                  <c:v>7.5600000000000014E-2</c:v>
                </c:pt>
                <c:pt idx="8">
                  <c:v>2.5599999999999987E-2</c:v>
                </c:pt>
                <c:pt idx="9">
                  <c:v>3.5999999999999977E-3</c:v>
                </c:pt>
                <c:pt idx="10">
                  <c:v>0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Bezier!$M$15</c:f>
              <c:strCache>
                <c:ptCount val="1"/>
                <c:pt idx="0">
                  <c:v>Bm,2</c:v>
                </c:pt>
              </c:strCache>
            </c:strRef>
          </c:tx>
          <c:marker>
            <c:symbol val="none"/>
          </c:marker>
          <c:xVal>
            <c:numRef>
              <c:f>Bezier!$J$16:$J$26</c:f>
              <c:numCache>
                <c:formatCode>0.0</c:formatCode>
                <c:ptCount val="11"/>
                <c:pt idx="0" formatCode="General">
                  <c:v>9.9999999999999995E-8</c:v>
                </c:pt>
                <c:pt idx="1">
                  <c:v>0.1</c:v>
                </c:pt>
                <c:pt idx="2" formatCode="General">
                  <c:v>0.2</c:v>
                </c:pt>
                <c:pt idx="3" formatCode="General">
                  <c:v>0.3</c:v>
                </c:pt>
                <c:pt idx="4">
                  <c:v>0.4</c:v>
                </c:pt>
                <c:pt idx="5" formatCode="General">
                  <c:v>0.5</c:v>
                </c:pt>
                <c:pt idx="6" formatCode="General">
                  <c:v>0.6</c:v>
                </c:pt>
                <c:pt idx="7">
                  <c:v>0.7</c:v>
                </c:pt>
                <c:pt idx="8" formatCode="General">
                  <c:v>0.8</c:v>
                </c:pt>
                <c:pt idx="9" formatCode="General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Bezier!$M$16:$M$26</c:f>
              <c:numCache>
                <c:formatCode>General</c:formatCode>
                <c:ptCount val="11"/>
                <c:pt idx="0">
                  <c:v>5.9999988000000605E-14</c:v>
                </c:pt>
                <c:pt idx="1">
                  <c:v>4.8600000000000011E-2</c:v>
                </c:pt>
                <c:pt idx="2">
                  <c:v>0.15360000000000007</c:v>
                </c:pt>
                <c:pt idx="3">
                  <c:v>0.2646</c:v>
                </c:pt>
                <c:pt idx="4">
                  <c:v>0.34560000000000007</c:v>
                </c:pt>
                <c:pt idx="5">
                  <c:v>0.375</c:v>
                </c:pt>
                <c:pt idx="6">
                  <c:v>0.34560000000000007</c:v>
                </c:pt>
                <c:pt idx="7">
                  <c:v>0.2646</c:v>
                </c:pt>
                <c:pt idx="8">
                  <c:v>0.15359999999999996</c:v>
                </c:pt>
                <c:pt idx="9">
                  <c:v>4.8599999999999977E-2</c:v>
                </c:pt>
                <c:pt idx="10">
                  <c:v>0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Bezier!$O$15</c:f>
              <c:strCache>
                <c:ptCount val="1"/>
                <c:pt idx="0">
                  <c:v>Bm,3</c:v>
                </c:pt>
              </c:strCache>
            </c:strRef>
          </c:tx>
          <c:marker>
            <c:symbol val="none"/>
          </c:marker>
          <c:xVal>
            <c:numRef>
              <c:f>Bezier!$J$16:$J$26</c:f>
              <c:numCache>
                <c:formatCode>0.0</c:formatCode>
                <c:ptCount val="11"/>
                <c:pt idx="0" formatCode="General">
                  <c:v>9.9999999999999995E-8</c:v>
                </c:pt>
                <c:pt idx="1">
                  <c:v>0.1</c:v>
                </c:pt>
                <c:pt idx="2" formatCode="General">
                  <c:v>0.2</c:v>
                </c:pt>
                <c:pt idx="3" formatCode="General">
                  <c:v>0.3</c:v>
                </c:pt>
                <c:pt idx="4">
                  <c:v>0.4</c:v>
                </c:pt>
                <c:pt idx="5" formatCode="General">
                  <c:v>0.5</c:v>
                </c:pt>
                <c:pt idx="6" formatCode="General">
                  <c:v>0.6</c:v>
                </c:pt>
                <c:pt idx="7">
                  <c:v>0.7</c:v>
                </c:pt>
                <c:pt idx="8" formatCode="General">
                  <c:v>0.8</c:v>
                </c:pt>
                <c:pt idx="9" formatCode="General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Bezier!$O$16:$O$26</c:f>
              <c:numCache>
                <c:formatCode>General</c:formatCode>
                <c:ptCount val="11"/>
                <c:pt idx="0">
                  <c:v>0</c:v>
                </c:pt>
                <c:pt idx="1">
                  <c:v>3.6000000000000012E-3</c:v>
                </c:pt>
                <c:pt idx="2">
                  <c:v>2.5600000000000012E-2</c:v>
                </c:pt>
                <c:pt idx="3">
                  <c:v>7.5600000000000001E-2</c:v>
                </c:pt>
                <c:pt idx="4">
                  <c:v>0.15360000000000004</c:v>
                </c:pt>
                <c:pt idx="5">
                  <c:v>0.25</c:v>
                </c:pt>
                <c:pt idx="6">
                  <c:v>0.34560000000000007</c:v>
                </c:pt>
                <c:pt idx="7">
                  <c:v>0.41159999999999997</c:v>
                </c:pt>
                <c:pt idx="8">
                  <c:v>0.40960000000000002</c:v>
                </c:pt>
                <c:pt idx="9">
                  <c:v>0.29159999999999997</c:v>
                </c:pt>
                <c:pt idx="10">
                  <c:v>0</c:v>
                </c:pt>
              </c:numCache>
            </c:numRef>
          </c:yVal>
          <c:smooth val="1"/>
        </c:ser>
        <c:ser>
          <c:idx val="4"/>
          <c:order val="4"/>
          <c:tx>
            <c:strRef>
              <c:f>Bezier!$P$15</c:f>
              <c:strCache>
                <c:ptCount val="1"/>
                <c:pt idx="0">
                  <c:v>Bm,4</c:v>
                </c:pt>
              </c:strCache>
            </c:strRef>
          </c:tx>
          <c:marker>
            <c:symbol val="none"/>
          </c:marker>
          <c:xVal>
            <c:numRef>
              <c:f>Bezier!$J$16:$J$26</c:f>
              <c:numCache>
                <c:formatCode>0.0</c:formatCode>
                <c:ptCount val="11"/>
                <c:pt idx="0" formatCode="General">
                  <c:v>9.9999999999999995E-8</c:v>
                </c:pt>
                <c:pt idx="1">
                  <c:v>0.1</c:v>
                </c:pt>
                <c:pt idx="2" formatCode="General">
                  <c:v>0.2</c:v>
                </c:pt>
                <c:pt idx="3" formatCode="General">
                  <c:v>0.3</c:v>
                </c:pt>
                <c:pt idx="4">
                  <c:v>0.4</c:v>
                </c:pt>
                <c:pt idx="5" formatCode="General">
                  <c:v>0.5</c:v>
                </c:pt>
                <c:pt idx="6" formatCode="General">
                  <c:v>0.6</c:v>
                </c:pt>
                <c:pt idx="7">
                  <c:v>0.7</c:v>
                </c:pt>
                <c:pt idx="8" formatCode="General">
                  <c:v>0.8</c:v>
                </c:pt>
                <c:pt idx="9" formatCode="General">
                  <c:v>0.9</c:v>
                </c:pt>
                <c:pt idx="10">
                  <c:v>1</c:v>
                </c:pt>
              </c:numCache>
            </c:numRef>
          </c:xVal>
          <c:yVal>
            <c:numRef>
              <c:f>Bezier!$P$16:$P$26</c:f>
              <c:numCache>
                <c:formatCode>General</c:formatCode>
                <c:ptCount val="11"/>
                <c:pt idx="0">
                  <c:v>0</c:v>
                </c:pt>
                <c:pt idx="1">
                  <c:v>1.0000000000000005E-4</c:v>
                </c:pt>
                <c:pt idx="2">
                  <c:v>1.6000000000000007E-3</c:v>
                </c:pt>
                <c:pt idx="3">
                  <c:v>8.0999999999999996E-3</c:v>
                </c:pt>
                <c:pt idx="4">
                  <c:v>2.5600000000000012E-2</c:v>
                </c:pt>
                <c:pt idx="5">
                  <c:v>6.25E-2</c:v>
                </c:pt>
                <c:pt idx="6">
                  <c:v>0.12959999999999999</c:v>
                </c:pt>
                <c:pt idx="7">
                  <c:v>0.2400999999999999</c:v>
                </c:pt>
                <c:pt idx="8">
                  <c:v>0.40960000000000019</c:v>
                </c:pt>
                <c:pt idx="9">
                  <c:v>0.65610000000000013</c:v>
                </c:pt>
                <c:pt idx="10">
                  <c:v>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521856"/>
        <c:axId val="248487232"/>
      </c:scatterChart>
      <c:valAx>
        <c:axId val="246521856"/>
        <c:scaling>
          <c:orientation val="minMax"/>
          <c:max val="1"/>
        </c:scaling>
        <c:delete val="0"/>
        <c:axPos val="b"/>
        <c:numFmt formatCode="General" sourceLinked="1"/>
        <c:majorTickMark val="out"/>
        <c:minorTickMark val="none"/>
        <c:tickLblPos val="nextTo"/>
        <c:crossAx val="248487232"/>
        <c:crosses val="autoZero"/>
        <c:crossBetween val="midCat"/>
      </c:valAx>
      <c:valAx>
        <c:axId val="248487232"/>
        <c:scaling>
          <c:orientation val="minMax"/>
          <c:max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65218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CA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CA" sz="1200"/>
              <a:t>Basis functions of a (4,3) surface in </a:t>
            </a:r>
            <a:r>
              <a:rPr lang="el-GR" sz="1200">
                <a:latin typeface="Times New Roman"/>
                <a:cs typeface="Times New Roman"/>
              </a:rPr>
              <a:t>η</a:t>
            </a:r>
            <a:r>
              <a:rPr lang="en-CA" sz="1200">
                <a:latin typeface="Times New Roman"/>
                <a:cs typeface="Times New Roman"/>
              </a:rPr>
              <a:t> direction</a:t>
            </a:r>
            <a:endParaRPr lang="en-CA" sz="1200"/>
          </a:p>
        </c:rich>
      </c:tx>
      <c:layout/>
      <c:overlay val="0"/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Bezier!$AA$15</c:f>
              <c:strCache>
                <c:ptCount val="1"/>
                <c:pt idx="0">
                  <c:v>Bn,0</c:v>
                </c:pt>
              </c:strCache>
            </c:strRef>
          </c:tx>
          <c:marker>
            <c:symbol val="none"/>
          </c:marker>
          <c:xVal>
            <c:numRef>
              <c:f>Bezier!$Z$16:$Z$36</c:f>
              <c:numCache>
                <c:formatCode>General</c:formatCode>
                <c:ptCount val="21"/>
                <c:pt idx="0" formatCode="0.00">
                  <c:v>9.9999999999999995E-8</c:v>
                </c:pt>
                <c:pt idx="1">
                  <c:v>4.9999999999999975E-2</c:v>
                </c:pt>
                <c:pt idx="2">
                  <c:v>0.10000000000000002</c:v>
                </c:pt>
                <c:pt idx="3">
                  <c:v>0.15</c:v>
                </c:pt>
                <c:pt idx="4">
                  <c:v>0.19999999999999996</c:v>
                </c:pt>
                <c:pt idx="5">
                  <c:v>0.25</c:v>
                </c:pt>
                <c:pt idx="6">
                  <c:v>0.3</c:v>
                </c:pt>
                <c:pt idx="7">
                  <c:v>0.34999999999999992</c:v>
                </c:pt>
                <c:pt idx="8">
                  <c:v>0.39999999999999997</c:v>
                </c:pt>
                <c:pt idx="9">
                  <c:v>0.45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0.79999999999999982</c:v>
                </c:pt>
                <c:pt idx="17">
                  <c:v>0.84999999999999987</c:v>
                </c:pt>
                <c:pt idx="18">
                  <c:v>0.89999999999999991</c:v>
                </c:pt>
                <c:pt idx="19">
                  <c:v>0.95</c:v>
                </c:pt>
                <c:pt idx="20">
                  <c:v>0.99999998999999995</c:v>
                </c:pt>
              </c:numCache>
            </c:numRef>
          </c:xVal>
          <c:yVal>
            <c:numRef>
              <c:f>Bezier!$AA$16:$AA$36</c:f>
              <c:numCache>
                <c:formatCode>General</c:formatCode>
                <c:ptCount val="21"/>
                <c:pt idx="0">
                  <c:v>0.99999970000003013</c:v>
                </c:pt>
                <c:pt idx="1">
                  <c:v>0.85737500000000011</c:v>
                </c:pt>
                <c:pt idx="2">
                  <c:v>0.72900000000000009</c:v>
                </c:pt>
                <c:pt idx="3">
                  <c:v>0.61412499999999992</c:v>
                </c:pt>
                <c:pt idx="4">
                  <c:v>0.51200000000000012</c:v>
                </c:pt>
                <c:pt idx="5">
                  <c:v>0.421875</c:v>
                </c:pt>
                <c:pt idx="6">
                  <c:v>0.34299999999999992</c:v>
                </c:pt>
                <c:pt idx="7">
                  <c:v>0.27462500000000017</c:v>
                </c:pt>
                <c:pt idx="8">
                  <c:v>0.21600000000000008</c:v>
                </c:pt>
                <c:pt idx="9">
                  <c:v>0.16637500000000005</c:v>
                </c:pt>
                <c:pt idx="10">
                  <c:v>0.125</c:v>
                </c:pt>
                <c:pt idx="11">
                  <c:v>9.1125000000000053E-2</c:v>
                </c:pt>
                <c:pt idx="12">
                  <c:v>6.4000000000000015E-2</c:v>
                </c:pt>
                <c:pt idx="13">
                  <c:v>4.287499999999999E-2</c:v>
                </c:pt>
                <c:pt idx="14">
                  <c:v>2.6999999999999979E-2</c:v>
                </c:pt>
                <c:pt idx="15">
                  <c:v>1.5624999999999979E-2</c:v>
                </c:pt>
                <c:pt idx="16">
                  <c:v>8.000000000000021E-3</c:v>
                </c:pt>
                <c:pt idx="17">
                  <c:v>3.3750000000000086E-3</c:v>
                </c:pt>
                <c:pt idx="18">
                  <c:v>1.0000000000000026E-3</c:v>
                </c:pt>
                <c:pt idx="19">
                  <c:v>1.2500000000000033E-4</c:v>
                </c:pt>
                <c:pt idx="20">
                  <c:v>1.0000000150742779E-24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Bezier!$AB$15</c:f>
              <c:strCache>
                <c:ptCount val="1"/>
                <c:pt idx="0">
                  <c:v>Bn,1</c:v>
                </c:pt>
              </c:strCache>
            </c:strRef>
          </c:tx>
          <c:marker>
            <c:symbol val="none"/>
          </c:marker>
          <c:xVal>
            <c:numRef>
              <c:f>Bezier!$Z$16:$Z$36</c:f>
              <c:numCache>
                <c:formatCode>General</c:formatCode>
                <c:ptCount val="21"/>
                <c:pt idx="0" formatCode="0.00">
                  <c:v>9.9999999999999995E-8</c:v>
                </c:pt>
                <c:pt idx="1">
                  <c:v>4.9999999999999975E-2</c:v>
                </c:pt>
                <c:pt idx="2">
                  <c:v>0.10000000000000002</c:v>
                </c:pt>
                <c:pt idx="3">
                  <c:v>0.15</c:v>
                </c:pt>
                <c:pt idx="4">
                  <c:v>0.19999999999999996</c:v>
                </c:pt>
                <c:pt idx="5">
                  <c:v>0.25</c:v>
                </c:pt>
                <c:pt idx="6">
                  <c:v>0.3</c:v>
                </c:pt>
                <c:pt idx="7">
                  <c:v>0.34999999999999992</c:v>
                </c:pt>
                <c:pt idx="8">
                  <c:v>0.39999999999999997</c:v>
                </c:pt>
                <c:pt idx="9">
                  <c:v>0.45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0.79999999999999982</c:v>
                </c:pt>
                <c:pt idx="17">
                  <c:v>0.84999999999999987</c:v>
                </c:pt>
                <c:pt idx="18">
                  <c:v>0.89999999999999991</c:v>
                </c:pt>
                <c:pt idx="19">
                  <c:v>0.95</c:v>
                </c:pt>
                <c:pt idx="20">
                  <c:v>0.99999998999999995</c:v>
                </c:pt>
              </c:numCache>
            </c:numRef>
          </c:xVal>
          <c:yVal>
            <c:numRef>
              <c:f>Bezier!$AB$16:$AB$36</c:f>
              <c:numCache>
                <c:formatCode>General</c:formatCode>
                <c:ptCount val="21"/>
                <c:pt idx="0">
                  <c:v>2.99999940000003E-7</c:v>
                </c:pt>
                <c:pt idx="1">
                  <c:v>0.13537499999999994</c:v>
                </c:pt>
                <c:pt idx="2">
                  <c:v>0.24300000000000005</c:v>
                </c:pt>
                <c:pt idx="3">
                  <c:v>0.32512499999999994</c:v>
                </c:pt>
                <c:pt idx="4">
                  <c:v>0.38400000000000001</c:v>
                </c:pt>
                <c:pt idx="5">
                  <c:v>0.421875</c:v>
                </c:pt>
                <c:pt idx="6">
                  <c:v>0.44099999999999989</c:v>
                </c:pt>
                <c:pt idx="7">
                  <c:v>0.4436250000000001</c:v>
                </c:pt>
                <c:pt idx="8">
                  <c:v>0.43200000000000011</c:v>
                </c:pt>
                <c:pt idx="9">
                  <c:v>0.4083750000000001</c:v>
                </c:pt>
                <c:pt idx="10">
                  <c:v>0.37499999999999994</c:v>
                </c:pt>
                <c:pt idx="11">
                  <c:v>0.33412500000000012</c:v>
                </c:pt>
                <c:pt idx="12">
                  <c:v>0.28800000000000003</c:v>
                </c:pt>
                <c:pt idx="13">
                  <c:v>0.238875</c:v>
                </c:pt>
                <c:pt idx="14">
                  <c:v>0.18899999999999992</c:v>
                </c:pt>
                <c:pt idx="15">
                  <c:v>0.14062499999999989</c:v>
                </c:pt>
                <c:pt idx="16">
                  <c:v>9.6000000000000141E-2</c:v>
                </c:pt>
                <c:pt idx="17">
                  <c:v>5.73750000000001E-2</c:v>
                </c:pt>
                <c:pt idx="18">
                  <c:v>2.7000000000000045E-2</c:v>
                </c:pt>
                <c:pt idx="19">
                  <c:v>7.1250000000000115E-3</c:v>
                </c:pt>
                <c:pt idx="20">
                  <c:v>3.0000000001485553E-16</c:v>
                </c:pt>
              </c:numCache>
            </c:numRef>
          </c:yVal>
          <c:smooth val="1"/>
        </c:ser>
        <c:ser>
          <c:idx val="2"/>
          <c:order val="2"/>
          <c:tx>
            <c:strRef>
              <c:f>Bezier!$AC$15</c:f>
              <c:strCache>
                <c:ptCount val="1"/>
                <c:pt idx="0">
                  <c:v>Bn,2</c:v>
                </c:pt>
              </c:strCache>
            </c:strRef>
          </c:tx>
          <c:marker>
            <c:symbol val="none"/>
          </c:marker>
          <c:xVal>
            <c:numRef>
              <c:f>Bezier!$Z$16:$Z$36</c:f>
              <c:numCache>
                <c:formatCode>General</c:formatCode>
                <c:ptCount val="21"/>
                <c:pt idx="0" formatCode="0.00">
                  <c:v>9.9999999999999995E-8</c:v>
                </c:pt>
                <c:pt idx="1">
                  <c:v>4.9999999999999975E-2</c:v>
                </c:pt>
                <c:pt idx="2">
                  <c:v>0.10000000000000002</c:v>
                </c:pt>
                <c:pt idx="3">
                  <c:v>0.15</c:v>
                </c:pt>
                <c:pt idx="4">
                  <c:v>0.19999999999999996</c:v>
                </c:pt>
                <c:pt idx="5">
                  <c:v>0.25</c:v>
                </c:pt>
                <c:pt idx="6">
                  <c:v>0.3</c:v>
                </c:pt>
                <c:pt idx="7">
                  <c:v>0.34999999999999992</c:v>
                </c:pt>
                <c:pt idx="8">
                  <c:v>0.39999999999999997</c:v>
                </c:pt>
                <c:pt idx="9">
                  <c:v>0.45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0.79999999999999982</c:v>
                </c:pt>
                <c:pt idx="17">
                  <c:v>0.84999999999999987</c:v>
                </c:pt>
                <c:pt idx="18">
                  <c:v>0.89999999999999991</c:v>
                </c:pt>
                <c:pt idx="19">
                  <c:v>0.95</c:v>
                </c:pt>
                <c:pt idx="20">
                  <c:v>0.99999998999999995</c:v>
                </c:pt>
              </c:numCache>
            </c:numRef>
          </c:xVal>
          <c:yVal>
            <c:numRef>
              <c:f>Bezier!$AC$16:$AC$36</c:f>
              <c:numCache>
                <c:formatCode>General</c:formatCode>
                <c:ptCount val="21"/>
                <c:pt idx="0">
                  <c:v>2.9999996999999999E-14</c:v>
                </c:pt>
                <c:pt idx="1">
                  <c:v>7.1249999999999933E-3</c:v>
                </c:pt>
                <c:pt idx="2">
                  <c:v>2.7000000000000014E-2</c:v>
                </c:pt>
                <c:pt idx="3">
                  <c:v>5.7375000000000002E-2</c:v>
                </c:pt>
                <c:pt idx="4">
                  <c:v>9.599999999999996E-2</c:v>
                </c:pt>
                <c:pt idx="5">
                  <c:v>0.140625</c:v>
                </c:pt>
                <c:pt idx="6">
                  <c:v>0.189</c:v>
                </c:pt>
                <c:pt idx="7">
                  <c:v>0.23887499999999995</c:v>
                </c:pt>
                <c:pt idx="8">
                  <c:v>0.28799999999999998</c:v>
                </c:pt>
                <c:pt idx="9">
                  <c:v>0.33412500000000006</c:v>
                </c:pt>
                <c:pt idx="10">
                  <c:v>0.37499999999999989</c:v>
                </c:pt>
                <c:pt idx="11">
                  <c:v>0.40837499999999993</c:v>
                </c:pt>
                <c:pt idx="12">
                  <c:v>0.43200000000000005</c:v>
                </c:pt>
                <c:pt idx="13">
                  <c:v>0.44362499999999999</c:v>
                </c:pt>
                <c:pt idx="14">
                  <c:v>0.44099999999999995</c:v>
                </c:pt>
                <c:pt idx="15">
                  <c:v>0.421875</c:v>
                </c:pt>
                <c:pt idx="16">
                  <c:v>0.38400000000000017</c:v>
                </c:pt>
                <c:pt idx="17">
                  <c:v>0.32512500000000022</c:v>
                </c:pt>
                <c:pt idx="18">
                  <c:v>0.24300000000000019</c:v>
                </c:pt>
                <c:pt idx="19">
                  <c:v>0.13537500000000013</c:v>
                </c:pt>
                <c:pt idx="20">
                  <c:v>2.9999999550742775E-8</c:v>
                </c:pt>
              </c:numCache>
            </c:numRef>
          </c:yVal>
          <c:smooth val="1"/>
        </c:ser>
        <c:ser>
          <c:idx val="3"/>
          <c:order val="3"/>
          <c:tx>
            <c:strRef>
              <c:f>Bezier!$AD$15</c:f>
              <c:strCache>
                <c:ptCount val="1"/>
                <c:pt idx="0">
                  <c:v>Bn,3</c:v>
                </c:pt>
              </c:strCache>
            </c:strRef>
          </c:tx>
          <c:marker>
            <c:symbol val="none"/>
          </c:marker>
          <c:xVal>
            <c:numRef>
              <c:f>Bezier!$Z$16:$Z$36</c:f>
              <c:numCache>
                <c:formatCode>General</c:formatCode>
                <c:ptCount val="21"/>
                <c:pt idx="0" formatCode="0.00">
                  <c:v>9.9999999999999995E-8</c:v>
                </c:pt>
                <c:pt idx="1">
                  <c:v>4.9999999999999975E-2</c:v>
                </c:pt>
                <c:pt idx="2">
                  <c:v>0.10000000000000002</c:v>
                </c:pt>
                <c:pt idx="3">
                  <c:v>0.15</c:v>
                </c:pt>
                <c:pt idx="4">
                  <c:v>0.19999999999999996</c:v>
                </c:pt>
                <c:pt idx="5">
                  <c:v>0.25</c:v>
                </c:pt>
                <c:pt idx="6">
                  <c:v>0.3</c:v>
                </c:pt>
                <c:pt idx="7">
                  <c:v>0.34999999999999992</c:v>
                </c:pt>
                <c:pt idx="8">
                  <c:v>0.39999999999999997</c:v>
                </c:pt>
                <c:pt idx="9">
                  <c:v>0.45</c:v>
                </c:pt>
                <c:pt idx="10">
                  <c:v>0.49999999999999994</c:v>
                </c:pt>
                <c:pt idx="11">
                  <c:v>0.54999999999999993</c:v>
                </c:pt>
                <c:pt idx="12">
                  <c:v>0.6</c:v>
                </c:pt>
                <c:pt idx="13">
                  <c:v>0.65</c:v>
                </c:pt>
                <c:pt idx="14">
                  <c:v>0.70000000000000007</c:v>
                </c:pt>
                <c:pt idx="15">
                  <c:v>0.75000000000000011</c:v>
                </c:pt>
                <c:pt idx="16">
                  <c:v>0.79999999999999982</c:v>
                </c:pt>
                <c:pt idx="17">
                  <c:v>0.84999999999999987</c:v>
                </c:pt>
                <c:pt idx="18">
                  <c:v>0.89999999999999991</c:v>
                </c:pt>
                <c:pt idx="19">
                  <c:v>0.95</c:v>
                </c:pt>
                <c:pt idx="20">
                  <c:v>0.99999998999999995</c:v>
                </c:pt>
              </c:numCache>
            </c:numRef>
          </c:xVal>
          <c:yVal>
            <c:numRef>
              <c:f>Bezier!$AD$16:$AD$36</c:f>
              <c:numCache>
                <c:formatCode>General</c:formatCode>
                <c:ptCount val="21"/>
                <c:pt idx="0">
                  <c:v>9.9999999999999972E-22</c:v>
                </c:pt>
                <c:pt idx="1">
                  <c:v>1.2499999999999981E-4</c:v>
                </c:pt>
                <c:pt idx="2">
                  <c:v>1.0000000000000005E-3</c:v>
                </c:pt>
                <c:pt idx="3">
                  <c:v>3.375E-3</c:v>
                </c:pt>
                <c:pt idx="4">
                  <c:v>7.999999999999995E-3</c:v>
                </c:pt>
                <c:pt idx="5">
                  <c:v>1.5625E-2</c:v>
                </c:pt>
                <c:pt idx="6">
                  <c:v>2.7E-2</c:v>
                </c:pt>
                <c:pt idx="7">
                  <c:v>4.2874999999999969E-2</c:v>
                </c:pt>
                <c:pt idx="8">
                  <c:v>6.3999999999999987E-2</c:v>
                </c:pt>
                <c:pt idx="9">
                  <c:v>9.1125000000000012E-2</c:v>
                </c:pt>
                <c:pt idx="10">
                  <c:v>0.12499999999999996</c:v>
                </c:pt>
                <c:pt idx="11">
                  <c:v>0.16637499999999994</c:v>
                </c:pt>
                <c:pt idx="12">
                  <c:v>0.216</c:v>
                </c:pt>
                <c:pt idx="13">
                  <c:v>0.27462500000000006</c:v>
                </c:pt>
                <c:pt idx="14">
                  <c:v>0.34300000000000014</c:v>
                </c:pt>
                <c:pt idx="15">
                  <c:v>0.42187500000000022</c:v>
                </c:pt>
                <c:pt idx="16">
                  <c:v>0.51199999999999968</c:v>
                </c:pt>
                <c:pt idx="17">
                  <c:v>0.6141249999999997</c:v>
                </c:pt>
                <c:pt idx="18">
                  <c:v>0.72899999999999976</c:v>
                </c:pt>
                <c:pt idx="19">
                  <c:v>0.85737499999999989</c:v>
                </c:pt>
                <c:pt idx="20">
                  <c:v>0.99999997000000018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6923840"/>
        <c:axId val="246529344"/>
      </c:scatterChart>
      <c:valAx>
        <c:axId val="246923840"/>
        <c:scaling>
          <c:orientation val="minMax"/>
          <c:max val="1"/>
        </c:scaling>
        <c:delete val="0"/>
        <c:axPos val="b"/>
        <c:numFmt formatCode="0.0" sourceLinked="0"/>
        <c:majorTickMark val="out"/>
        <c:minorTickMark val="none"/>
        <c:tickLblPos val="nextTo"/>
        <c:crossAx val="246529344"/>
        <c:crosses val="autoZero"/>
        <c:crossBetween val="midCat"/>
      </c:valAx>
      <c:valAx>
        <c:axId val="246529344"/>
        <c:scaling>
          <c:orientation val="minMax"/>
          <c:max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46923840"/>
        <c:crosses val="autoZero"/>
        <c:crossBetween val="midCat"/>
        <c:majorUnit val="0.2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13" Type="http://schemas.openxmlformats.org/officeDocument/2006/relationships/chart" Target="../charts/chart11.xml"/><Relationship Id="rId3" Type="http://schemas.openxmlformats.org/officeDocument/2006/relationships/chart" Target="../charts/chart1.xml"/><Relationship Id="rId7" Type="http://schemas.openxmlformats.org/officeDocument/2006/relationships/chart" Target="../charts/chart5.xml"/><Relationship Id="rId12" Type="http://schemas.openxmlformats.org/officeDocument/2006/relationships/chart" Target="../charts/chart10.xml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chart" Target="../charts/chart4.xml"/><Relationship Id="rId11" Type="http://schemas.openxmlformats.org/officeDocument/2006/relationships/chart" Target="../charts/chart9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image" Target="../media/image16.png"/><Relationship Id="rId18" Type="http://schemas.openxmlformats.org/officeDocument/2006/relationships/image" Target="../media/image21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png"/><Relationship Id="rId17" Type="http://schemas.openxmlformats.org/officeDocument/2006/relationships/image" Target="../media/image20.PNG"/><Relationship Id="rId2" Type="http://schemas.openxmlformats.org/officeDocument/2006/relationships/chart" Target="../charts/chart14.xml"/><Relationship Id="rId16" Type="http://schemas.openxmlformats.org/officeDocument/2006/relationships/image" Target="../media/image19.PNG"/><Relationship Id="rId20" Type="http://schemas.openxmlformats.org/officeDocument/2006/relationships/chart" Target="../charts/chart15.xml"/><Relationship Id="rId1" Type="http://schemas.openxmlformats.org/officeDocument/2006/relationships/image" Target="../media/image5.png"/><Relationship Id="rId6" Type="http://schemas.openxmlformats.org/officeDocument/2006/relationships/image" Target="../media/image9.pn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5" Type="http://schemas.openxmlformats.org/officeDocument/2006/relationships/image" Target="../media/image18.png"/><Relationship Id="rId10" Type="http://schemas.openxmlformats.org/officeDocument/2006/relationships/image" Target="../media/image13.png"/><Relationship Id="rId19" Type="http://schemas.openxmlformats.org/officeDocument/2006/relationships/image" Target="../media/image22.PNG"/><Relationship Id="rId4" Type="http://schemas.openxmlformats.org/officeDocument/2006/relationships/image" Target="../media/image7.PNG"/><Relationship Id="rId9" Type="http://schemas.openxmlformats.org/officeDocument/2006/relationships/image" Target="../media/image12.png"/><Relationship Id="rId14" Type="http://schemas.openxmlformats.org/officeDocument/2006/relationships/image" Target="../media/image17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Relationship Id="rId5" Type="http://schemas.openxmlformats.org/officeDocument/2006/relationships/chart" Target="../charts/chart20.xml"/><Relationship Id="rId4" Type="http://schemas.openxmlformats.org/officeDocument/2006/relationships/chart" Target="../charts/chart19.xml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wmf"/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47625</xdr:colOff>
      <xdr:row>3</xdr:row>
      <xdr:rowOff>47625</xdr:rowOff>
    </xdr:from>
    <xdr:to>
      <xdr:col>13</xdr:col>
      <xdr:colOff>476250</xdr:colOff>
      <xdr:row>5</xdr:row>
      <xdr:rowOff>152401</xdr:rowOff>
    </xdr:to>
    <xdr:sp macro="" textlink="">
      <xdr:nvSpPr>
        <xdr:cNvPr id="2" name="TextBox 1"/>
        <xdr:cNvSpPr txBox="1"/>
      </xdr:nvSpPr>
      <xdr:spPr>
        <a:xfrm>
          <a:off x="47625" y="619125"/>
          <a:ext cx="7734300" cy="485776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en-CA" sz="1100"/>
            <a:t>In the absence of more detailed information, a generally conservative, and sometimes highly conservative , longitudinal tensile strain</a:t>
          </a:r>
          <a:r>
            <a:rPr lang="en-CA" sz="1100" baseline="0"/>
            <a:t> capacity  (in %) may be computed as follows</a:t>
          </a:r>
          <a:endParaRPr lang="en-CA" sz="1100"/>
        </a:p>
      </xdr:txBody>
    </xdr:sp>
    <xdr:clientData/>
  </xdr:twoCellAnchor>
  <xdr:twoCellAnchor editAs="oneCell">
    <xdr:from>
      <xdr:col>2</xdr:col>
      <xdr:colOff>590550</xdr:colOff>
      <xdr:row>8</xdr:row>
      <xdr:rowOff>180975</xdr:rowOff>
    </xdr:from>
    <xdr:to>
      <xdr:col>10</xdr:col>
      <xdr:colOff>133350</xdr:colOff>
      <xdr:row>20</xdr:row>
      <xdr:rowOff>85725</xdr:rowOff>
    </xdr:to>
    <xdr:pic>
      <xdr:nvPicPr>
        <xdr:cNvPr id="2520397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76425" y="1704975"/>
          <a:ext cx="4343400" cy="21907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4</xdr:col>
      <xdr:colOff>76200</xdr:colOff>
      <xdr:row>34</xdr:row>
      <xdr:rowOff>85725</xdr:rowOff>
    </xdr:from>
    <xdr:to>
      <xdr:col>10</xdr:col>
      <xdr:colOff>9525</xdr:colOff>
      <xdr:row>50</xdr:row>
      <xdr:rowOff>123825</xdr:rowOff>
    </xdr:to>
    <xdr:pic>
      <xdr:nvPicPr>
        <xdr:cNvPr id="2520398" name="Picture 3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76500" y="6810375"/>
          <a:ext cx="3009900" cy="3086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11</xdr:col>
      <xdr:colOff>66675</xdr:colOff>
      <xdr:row>70</xdr:row>
      <xdr:rowOff>114300</xdr:rowOff>
    </xdr:from>
    <xdr:to>
      <xdr:col>13</xdr:col>
      <xdr:colOff>533400</xdr:colOff>
      <xdr:row>77</xdr:row>
      <xdr:rowOff>114300</xdr:rowOff>
    </xdr:to>
    <xdr:sp macro="" textlink="">
      <xdr:nvSpPr>
        <xdr:cNvPr id="3" name="TextBox 2"/>
        <xdr:cNvSpPr txBox="1"/>
      </xdr:nvSpPr>
      <xdr:spPr>
        <a:xfrm>
          <a:off x="6153150" y="14097000"/>
          <a:ext cx="1685925" cy="1333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lnSpc>
              <a:spcPts val="1200"/>
            </a:lnSpc>
          </a:pPr>
          <a:r>
            <a:rPr lang="en-CA" sz="1100" b="1">
              <a:solidFill>
                <a:srgbClr val="FF0000"/>
              </a:solidFill>
            </a:rPr>
            <a:t>Click on the cell at the upper left corner of the table (</a:t>
          </a:r>
          <a:r>
            <a:rPr lang="el-GR" sz="1100" b="1">
              <a:solidFill>
                <a:srgbClr val="FF0000"/>
              </a:solidFill>
            </a:rPr>
            <a:t>ξ</a:t>
          </a:r>
          <a:r>
            <a:rPr lang="en-CA" sz="1100" b="1">
              <a:solidFill>
                <a:srgbClr val="FF0000"/>
              </a:solidFill>
            </a:rPr>
            <a:t>) before clicking</a:t>
          </a:r>
          <a:r>
            <a:rPr lang="en-CA" sz="1100" b="1" baseline="0">
              <a:solidFill>
                <a:srgbClr val="FF0000"/>
              </a:solidFill>
            </a:rPr>
            <a:t> on the command button calculating the tensile strain capacities</a:t>
          </a:r>
          <a:r>
            <a:rPr lang="en-CA" sz="1100" b="1">
              <a:solidFill>
                <a:srgbClr val="FF0000"/>
              </a:solidFill>
            </a:rPr>
            <a:t>. </a:t>
          </a:r>
        </a:p>
      </xdr:txBody>
    </xdr:sp>
    <xdr:clientData/>
  </xdr:twoCellAnchor>
  <xdr:twoCellAnchor>
    <xdr:from>
      <xdr:col>0</xdr:col>
      <xdr:colOff>85725</xdr:colOff>
      <xdr:row>82</xdr:row>
      <xdr:rowOff>19050</xdr:rowOff>
    </xdr:from>
    <xdr:to>
      <xdr:col>10</xdr:col>
      <xdr:colOff>44132</xdr:colOff>
      <xdr:row>96</xdr:row>
      <xdr:rowOff>95250</xdr:rowOff>
    </xdr:to>
    <xdr:graphicFrame macro="">
      <xdr:nvGraphicFramePr>
        <xdr:cNvPr id="2520400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133350</xdr:colOff>
      <xdr:row>114</xdr:row>
      <xdr:rowOff>76200</xdr:rowOff>
    </xdr:from>
    <xdr:to>
      <xdr:col>13</xdr:col>
      <xdr:colOff>457200</xdr:colOff>
      <xdr:row>132</xdr:row>
      <xdr:rowOff>114300</xdr:rowOff>
    </xdr:to>
    <xdr:graphicFrame macro="">
      <xdr:nvGraphicFramePr>
        <xdr:cNvPr id="2520401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11</xdr:col>
      <xdr:colOff>0</xdr:colOff>
      <xdr:row>106</xdr:row>
      <xdr:rowOff>0</xdr:rowOff>
    </xdr:from>
    <xdr:to>
      <xdr:col>13</xdr:col>
      <xdr:colOff>466725</xdr:colOff>
      <xdr:row>113</xdr:row>
      <xdr:rowOff>0</xdr:rowOff>
    </xdr:to>
    <xdr:sp macro="" textlink="">
      <xdr:nvSpPr>
        <xdr:cNvPr id="11" name="TextBox 10"/>
        <xdr:cNvSpPr txBox="1"/>
      </xdr:nvSpPr>
      <xdr:spPr>
        <a:xfrm>
          <a:off x="6086475" y="20888325"/>
          <a:ext cx="1685925" cy="1333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lnSpc>
              <a:spcPts val="1200"/>
            </a:lnSpc>
          </a:pPr>
          <a:r>
            <a:rPr lang="en-CA" sz="1100" b="1">
              <a:solidFill>
                <a:srgbClr val="FF0000"/>
              </a:solidFill>
            </a:rPr>
            <a:t>Click on the cell at the upper left corner of the table (</a:t>
          </a:r>
          <a:r>
            <a:rPr lang="el-GR" sz="1100" b="1">
              <a:solidFill>
                <a:srgbClr val="FF0000"/>
              </a:solidFill>
              <a:latin typeface="Calibri"/>
              <a:cs typeface="Calibri"/>
            </a:rPr>
            <a:t>λ</a:t>
          </a:r>
          <a:r>
            <a:rPr lang="en-CA" sz="1100" b="1">
              <a:solidFill>
                <a:srgbClr val="FF0000"/>
              </a:solidFill>
            </a:rPr>
            <a:t>) before clicking</a:t>
          </a:r>
          <a:r>
            <a:rPr lang="en-CA" sz="1100" b="1" baseline="0">
              <a:solidFill>
                <a:srgbClr val="FF0000"/>
              </a:solidFill>
            </a:rPr>
            <a:t> on the command button calculating the tensile strain capacities</a:t>
          </a:r>
          <a:r>
            <a:rPr lang="en-CA" sz="1100" b="1">
              <a:solidFill>
                <a:srgbClr val="FF0000"/>
              </a:solidFill>
            </a:rPr>
            <a:t>. </a:t>
          </a:r>
        </a:p>
      </xdr:txBody>
    </xdr:sp>
    <xdr:clientData/>
  </xdr:twoCellAnchor>
  <xdr:twoCellAnchor>
    <xdr:from>
      <xdr:col>0</xdr:col>
      <xdr:colOff>66675</xdr:colOff>
      <xdr:row>147</xdr:row>
      <xdr:rowOff>28575</xdr:rowOff>
    </xdr:from>
    <xdr:to>
      <xdr:col>13</xdr:col>
      <xdr:colOff>561975</xdr:colOff>
      <xdr:row>166</xdr:row>
      <xdr:rowOff>123825</xdr:rowOff>
    </xdr:to>
    <xdr:graphicFrame macro="">
      <xdr:nvGraphicFramePr>
        <xdr:cNvPr id="2520403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133350</xdr:colOff>
      <xdr:row>138</xdr:row>
      <xdr:rowOff>38100</xdr:rowOff>
    </xdr:from>
    <xdr:to>
      <xdr:col>13</xdr:col>
      <xdr:colOff>600075</xdr:colOff>
      <xdr:row>145</xdr:row>
      <xdr:rowOff>38100</xdr:rowOff>
    </xdr:to>
    <xdr:sp macro="" textlink="">
      <xdr:nvSpPr>
        <xdr:cNvPr id="13" name="TextBox 12"/>
        <xdr:cNvSpPr txBox="1"/>
      </xdr:nvSpPr>
      <xdr:spPr>
        <a:xfrm>
          <a:off x="6219825" y="27070050"/>
          <a:ext cx="1685925" cy="1333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>
            <a:lnSpc>
              <a:spcPts val="1200"/>
            </a:lnSpc>
          </a:pPr>
          <a:r>
            <a:rPr lang="en-CA" sz="1100" b="1">
              <a:solidFill>
                <a:srgbClr val="FF0000"/>
              </a:solidFill>
            </a:rPr>
            <a:t>Click on the cell at the upper left corner of the table (</a:t>
          </a:r>
          <a:r>
            <a:rPr lang="el-GR" sz="1100" b="1">
              <a:solidFill>
                <a:srgbClr val="FF0000"/>
              </a:solidFill>
              <a:latin typeface="Calibri"/>
              <a:cs typeface="Calibri"/>
            </a:rPr>
            <a:t>ξ</a:t>
          </a:r>
          <a:r>
            <a:rPr lang="en-CA" sz="1100" b="1">
              <a:solidFill>
                <a:srgbClr val="FF0000"/>
              </a:solidFill>
            </a:rPr>
            <a:t>) before clicking</a:t>
          </a:r>
          <a:r>
            <a:rPr lang="en-CA" sz="1100" b="1" baseline="0">
              <a:solidFill>
                <a:srgbClr val="FF0000"/>
              </a:solidFill>
            </a:rPr>
            <a:t> on the command button calculating the tensile strain capacities</a:t>
          </a:r>
          <a:r>
            <a:rPr lang="en-CA" sz="1100" b="1">
              <a:solidFill>
                <a:srgbClr val="FF0000"/>
              </a:solidFill>
            </a:rPr>
            <a:t>. </a:t>
          </a:r>
        </a:p>
      </xdr:txBody>
    </xdr:sp>
    <xdr:clientData/>
  </xdr:twoCellAnchor>
  <xdr:twoCellAnchor>
    <xdr:from>
      <xdr:col>0</xdr:col>
      <xdr:colOff>28575</xdr:colOff>
      <xdr:row>183</xdr:row>
      <xdr:rowOff>76200</xdr:rowOff>
    </xdr:from>
    <xdr:to>
      <xdr:col>13</xdr:col>
      <xdr:colOff>590550</xdr:colOff>
      <xdr:row>200</xdr:row>
      <xdr:rowOff>133350</xdr:rowOff>
    </xdr:to>
    <xdr:graphicFrame macro="">
      <xdr:nvGraphicFramePr>
        <xdr:cNvPr id="2520405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9525</xdr:colOff>
      <xdr:row>65</xdr:row>
      <xdr:rowOff>123825</xdr:rowOff>
    </xdr:from>
    <xdr:to>
      <xdr:col>26</xdr:col>
      <xdr:colOff>571500</xdr:colOff>
      <xdr:row>71</xdr:row>
      <xdr:rowOff>19050</xdr:rowOff>
    </xdr:to>
    <xdr:sp macro="" textlink="">
      <xdr:nvSpPr>
        <xdr:cNvPr id="7" name="TextBox 6"/>
        <xdr:cNvSpPr txBox="1"/>
      </xdr:nvSpPr>
      <xdr:spPr>
        <a:xfrm>
          <a:off x="12192000" y="13106400"/>
          <a:ext cx="3609975" cy="10858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As the defect height and length  decrease, the tensile strain capacity increases</a:t>
          </a:r>
        </a:p>
      </xdr:txBody>
    </xdr:sp>
    <xdr:clientData/>
  </xdr:twoCellAnchor>
  <xdr:twoCellAnchor>
    <xdr:from>
      <xdr:col>20</xdr:col>
      <xdr:colOff>485775</xdr:colOff>
      <xdr:row>99</xdr:row>
      <xdr:rowOff>133350</xdr:rowOff>
    </xdr:from>
    <xdr:to>
      <xdr:col>26</xdr:col>
      <xdr:colOff>438150</xdr:colOff>
      <xdr:row>108</xdr:row>
      <xdr:rowOff>123825</xdr:rowOff>
    </xdr:to>
    <xdr:sp macro="" textlink="">
      <xdr:nvSpPr>
        <xdr:cNvPr id="17" name="TextBox 16"/>
        <xdr:cNvSpPr txBox="1"/>
      </xdr:nvSpPr>
      <xdr:spPr>
        <a:xfrm>
          <a:off x="12058650" y="19640550"/>
          <a:ext cx="3609975" cy="17526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As the ratio</a:t>
          </a:r>
          <a:r>
            <a:rPr lang="en-US" sz="1100" baseline="0"/>
            <a:t> of the yield strength to  the ultimate tensile strength </a:t>
          </a:r>
          <a:r>
            <a:rPr lang="en-US" sz="1100"/>
            <a:t>decreases, the tensile strain capacity increases.   </a:t>
          </a:r>
        </a:p>
        <a:p>
          <a:r>
            <a:rPr lang="en-US" sz="1100" b="1"/>
            <a:t>=&gt;</a:t>
          </a:r>
          <a:r>
            <a:rPr lang="en-US" sz="1100"/>
            <a:t> </a:t>
          </a:r>
          <a:r>
            <a:rPr lang="en-US" sz="1100" b="1"/>
            <a:t>Larger gap between yield strength and ultimate</a:t>
          </a:r>
          <a:r>
            <a:rPr lang="en-US" sz="1100" b="1" baseline="0"/>
            <a:t> strength indicates higher tensile strain capacity</a:t>
          </a:r>
        </a:p>
        <a:p>
          <a:endParaRPr lang="en-US" sz="1100" b="1" baseline="0"/>
        </a:p>
        <a:p>
          <a:r>
            <a:rPr lang="en-US" sz="1100" b="0" baseline="0"/>
            <a:t>As the CTOD toughness increases, the tensile strain capacity increases too.</a:t>
          </a:r>
          <a:endParaRPr lang="en-US" sz="1100" b="0"/>
        </a:p>
      </xdr:txBody>
    </xdr:sp>
    <xdr:clientData/>
  </xdr:twoCellAnchor>
  <xdr:twoCellAnchor>
    <xdr:from>
      <xdr:col>14</xdr:col>
      <xdr:colOff>28575</xdr:colOff>
      <xdr:row>137</xdr:row>
      <xdr:rowOff>38100</xdr:rowOff>
    </xdr:from>
    <xdr:to>
      <xdr:col>21</xdr:col>
      <xdr:colOff>381000</xdr:colOff>
      <xdr:row>150</xdr:row>
      <xdr:rowOff>180975</xdr:rowOff>
    </xdr:to>
    <xdr:graphicFrame macro="">
      <xdr:nvGraphicFramePr>
        <xdr:cNvPr id="252040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14</xdr:col>
      <xdr:colOff>19050</xdr:colOff>
      <xdr:row>151</xdr:row>
      <xdr:rowOff>57150</xdr:rowOff>
    </xdr:from>
    <xdr:to>
      <xdr:col>21</xdr:col>
      <xdr:colOff>323850</xdr:colOff>
      <xdr:row>165</xdr:row>
      <xdr:rowOff>133350</xdr:rowOff>
    </xdr:to>
    <xdr:graphicFrame macro="">
      <xdr:nvGraphicFramePr>
        <xdr:cNvPr id="252040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76200</xdr:colOff>
      <xdr:row>99</xdr:row>
      <xdr:rowOff>66675</xdr:rowOff>
    </xdr:from>
    <xdr:to>
      <xdr:col>20</xdr:col>
      <xdr:colOff>247650</xdr:colOff>
      <xdr:row>113</xdr:row>
      <xdr:rowOff>95250</xdr:rowOff>
    </xdr:to>
    <xdr:graphicFrame macro="">
      <xdr:nvGraphicFramePr>
        <xdr:cNvPr id="25204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66675</xdr:colOff>
      <xdr:row>114</xdr:row>
      <xdr:rowOff>142875</xdr:rowOff>
    </xdr:from>
    <xdr:to>
      <xdr:col>20</xdr:col>
      <xdr:colOff>304800</xdr:colOff>
      <xdr:row>130</xdr:row>
      <xdr:rowOff>76200</xdr:rowOff>
    </xdr:to>
    <xdr:graphicFrame macro="">
      <xdr:nvGraphicFramePr>
        <xdr:cNvPr id="2520411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209550</xdr:colOff>
      <xdr:row>63</xdr:row>
      <xdr:rowOff>161925</xdr:rowOff>
    </xdr:from>
    <xdr:to>
      <xdr:col>20</xdr:col>
      <xdr:colOff>552450</xdr:colOff>
      <xdr:row>79</xdr:row>
      <xdr:rowOff>142875</xdr:rowOff>
    </xdr:to>
    <xdr:graphicFrame macro="">
      <xdr:nvGraphicFramePr>
        <xdr:cNvPr id="2520412" name="Chart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14</xdr:col>
      <xdr:colOff>228600</xdr:colOff>
      <xdr:row>82</xdr:row>
      <xdr:rowOff>161925</xdr:rowOff>
    </xdr:from>
    <xdr:to>
      <xdr:col>20</xdr:col>
      <xdr:colOff>570600</xdr:colOff>
      <xdr:row>99</xdr:row>
      <xdr:rowOff>1425</xdr:rowOff>
    </xdr:to>
    <xdr:graphicFrame macro="">
      <xdr:nvGraphicFramePr>
        <xdr:cNvPr id="2520413" name="Chart 1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400050</xdr:colOff>
          <xdr:row>67</xdr:row>
          <xdr:rowOff>0</xdr:rowOff>
        </xdr:from>
        <xdr:to>
          <xdr:col>13</xdr:col>
          <xdr:colOff>295275</xdr:colOff>
          <xdr:row>70</xdr:row>
          <xdr:rowOff>9525</xdr:rowOff>
        </xdr:to>
        <xdr:sp macro="" textlink="">
          <xdr:nvSpPr>
            <xdr:cNvPr id="1232" name="Button 208" hidden="1">
              <a:extLst>
                <a:ext uri="{63B3BB69-23CF-44E3-9099-C40C66FF867C}">
                  <a14:compatExt spid="_x0000_s12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Tensile Strain Capacity</a:t>
              </a:r>
              <a:endParaRPr lang="en-CA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381000</xdr:colOff>
          <xdr:row>100</xdr:row>
          <xdr:rowOff>161925</xdr:rowOff>
        </xdr:from>
        <xdr:to>
          <xdr:col>13</xdr:col>
          <xdr:colOff>276225</xdr:colOff>
          <xdr:row>103</xdr:row>
          <xdr:rowOff>171450</xdr:rowOff>
        </xdr:to>
        <xdr:sp macro="" textlink="">
          <xdr:nvSpPr>
            <xdr:cNvPr id="1665" name="Button 641" hidden="1">
              <a:extLst>
                <a:ext uri="{63B3BB69-23CF-44E3-9099-C40C66FF867C}">
                  <a14:compatExt spid="_x0000_s16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Tensile Strain Capacity</a:t>
              </a:r>
              <a:endParaRPr lang="en-CA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381000</xdr:colOff>
          <xdr:row>135</xdr:row>
          <xdr:rowOff>0</xdr:rowOff>
        </xdr:from>
        <xdr:to>
          <xdr:col>13</xdr:col>
          <xdr:colOff>276225</xdr:colOff>
          <xdr:row>138</xdr:row>
          <xdr:rowOff>9525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Tensile Strain Capacity</a:t>
              </a:r>
              <a:endParaRPr lang="en-CA"/>
            </a:p>
          </xdr:txBody>
        </xdr:sp>
        <xdr:clientData fPrintsWithSheet="0"/>
      </xdr:twoCellAnchor>
    </mc:Choice>
    <mc:Fallback/>
  </mc:AlternateContent>
  <xdr:twoCellAnchor>
    <xdr:from>
      <xdr:col>26</xdr:col>
      <xdr:colOff>421822</xdr:colOff>
      <xdr:row>94</xdr:row>
      <xdr:rowOff>91168</xdr:rowOff>
    </xdr:from>
    <xdr:to>
      <xdr:col>32</xdr:col>
      <xdr:colOff>775608</xdr:colOff>
      <xdr:row>113</xdr:row>
      <xdr:rowOff>81643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66674</xdr:colOff>
      <xdr:row>12</xdr:row>
      <xdr:rowOff>190499</xdr:rowOff>
    </xdr:from>
    <xdr:to>
      <xdr:col>11</xdr:col>
      <xdr:colOff>495299</xdr:colOff>
      <xdr:row>18</xdr:row>
      <xdr:rowOff>28574</xdr:rowOff>
    </xdr:to>
    <xdr:sp macro="" textlink="">
      <xdr:nvSpPr>
        <xdr:cNvPr id="6" name="TextBox 5"/>
        <xdr:cNvSpPr txBox="1"/>
      </xdr:nvSpPr>
      <xdr:spPr>
        <a:xfrm>
          <a:off x="5553074" y="2524124"/>
          <a:ext cx="1647825" cy="981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 b="1">
              <a:solidFill>
                <a:srgbClr val="FF0000"/>
              </a:solidFill>
            </a:rPr>
            <a:t>Click on B5</a:t>
          </a:r>
          <a:r>
            <a:rPr lang="en-CA" sz="1100" b="1" baseline="0">
              <a:solidFill>
                <a:srgbClr val="FF0000"/>
              </a:solidFill>
            </a:rPr>
            <a:t> before calculating the tensile strain capacities</a:t>
          </a:r>
          <a:endParaRPr lang="en-CA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9</xdr:col>
      <xdr:colOff>66675</xdr:colOff>
      <xdr:row>20</xdr:row>
      <xdr:rowOff>152400</xdr:rowOff>
    </xdr:from>
    <xdr:to>
      <xdr:col>12</xdr:col>
      <xdr:colOff>95250</xdr:colOff>
      <xdr:row>24</xdr:row>
      <xdr:rowOff>38100</xdr:rowOff>
    </xdr:to>
    <xdr:sp macro="" textlink="">
      <xdr:nvSpPr>
        <xdr:cNvPr id="8" name="TextBox 7"/>
        <xdr:cNvSpPr txBox="1"/>
      </xdr:nvSpPr>
      <xdr:spPr>
        <a:xfrm>
          <a:off x="5553075" y="4010025"/>
          <a:ext cx="1857375" cy="647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 b="0">
              <a:solidFill>
                <a:sysClr val="windowText" lastClr="000000"/>
              </a:solidFill>
            </a:rPr>
            <a:t>For </a:t>
          </a:r>
          <a:r>
            <a:rPr lang="el-GR" sz="1100" b="0">
              <a:solidFill>
                <a:sysClr val="windowText" lastClr="000000"/>
              </a:solidFill>
            </a:rPr>
            <a:t>η</a:t>
          </a:r>
          <a:r>
            <a:rPr lang="en-CA" sz="1100" b="0">
              <a:solidFill>
                <a:sysClr val="windowText" lastClr="000000"/>
              </a:solidFill>
            </a:rPr>
            <a:t>=0 calculations could not be completed</a:t>
          </a:r>
        </a:p>
      </xdr:txBody>
    </xdr:sp>
    <xdr:clientData/>
  </xdr:twoCellAnchor>
  <xdr:twoCellAnchor>
    <xdr:from>
      <xdr:col>12</xdr:col>
      <xdr:colOff>133350</xdr:colOff>
      <xdr:row>11</xdr:row>
      <xdr:rowOff>161925</xdr:rowOff>
    </xdr:from>
    <xdr:to>
      <xdr:col>19</xdr:col>
      <xdr:colOff>438150</xdr:colOff>
      <xdr:row>30</xdr:row>
      <xdr:rowOff>114300</xdr:rowOff>
    </xdr:to>
    <xdr:graphicFrame macro="">
      <xdr:nvGraphicFramePr>
        <xdr:cNvPr id="89494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10</xdr:row>
          <xdr:rowOff>9525</xdr:rowOff>
        </xdr:from>
        <xdr:to>
          <xdr:col>11</xdr:col>
          <xdr:colOff>152400</xdr:colOff>
          <xdr:row>12</xdr:row>
          <xdr:rowOff>28575</xdr:rowOff>
        </xdr:to>
        <xdr:sp macro="" textlink="">
          <xdr:nvSpPr>
            <xdr:cNvPr id="89367" name="Button 279" hidden="1">
              <a:extLst>
                <a:ext uri="{63B3BB69-23CF-44E3-9099-C40C66FF867C}">
                  <a14:compatExt spid="_x0000_s89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Tensile Strain Capacities</a:t>
              </a:r>
              <a:endParaRPr lang="en-CA"/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333375</xdr:colOff>
      <xdr:row>13</xdr:row>
      <xdr:rowOff>152400</xdr:rowOff>
    </xdr:from>
    <xdr:to>
      <xdr:col>18</xdr:col>
      <xdr:colOff>180975</xdr:colOff>
      <xdr:row>18</xdr:row>
      <xdr:rowOff>180975</xdr:rowOff>
    </xdr:to>
    <xdr:sp macro="" textlink="">
      <xdr:nvSpPr>
        <xdr:cNvPr id="3" name="TextBox 2"/>
        <xdr:cNvSpPr txBox="1"/>
      </xdr:nvSpPr>
      <xdr:spPr>
        <a:xfrm>
          <a:off x="5800725" y="2676525"/>
          <a:ext cx="1647825" cy="981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 b="1">
              <a:solidFill>
                <a:srgbClr val="FF0000"/>
              </a:solidFill>
            </a:rPr>
            <a:t>Click on B5</a:t>
          </a:r>
          <a:r>
            <a:rPr lang="en-CA" sz="1100" b="1" baseline="0">
              <a:solidFill>
                <a:srgbClr val="FF0000"/>
              </a:solidFill>
            </a:rPr>
            <a:t> before calculating the tensile strain capacities</a:t>
          </a:r>
          <a:endParaRPr lang="en-CA" sz="1100" b="1">
            <a:solidFill>
              <a:srgbClr val="FF0000"/>
            </a:solidFill>
          </a:endParaRPr>
        </a:p>
      </xdr:txBody>
    </xdr:sp>
    <xdr:clientData/>
  </xdr:twoCellAnchor>
  <xdr:twoCellAnchor>
    <xdr:from>
      <xdr:col>20</xdr:col>
      <xdr:colOff>133350</xdr:colOff>
      <xdr:row>11</xdr:row>
      <xdr:rowOff>171450</xdr:rowOff>
    </xdr:from>
    <xdr:to>
      <xdr:col>27</xdr:col>
      <xdr:colOff>438150</xdr:colOff>
      <xdr:row>29</xdr:row>
      <xdr:rowOff>114300</xdr:rowOff>
    </xdr:to>
    <xdr:graphicFrame macro="">
      <xdr:nvGraphicFramePr>
        <xdr:cNvPr id="2042950" name="Chart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133350</xdr:colOff>
          <xdr:row>8</xdr:row>
          <xdr:rowOff>85725</xdr:rowOff>
        </xdr:from>
        <xdr:to>
          <xdr:col>17</xdr:col>
          <xdr:colOff>285750</xdr:colOff>
          <xdr:row>10</xdr:row>
          <xdr:rowOff>152400</xdr:rowOff>
        </xdr:to>
        <xdr:sp macro="" textlink="">
          <xdr:nvSpPr>
            <xdr:cNvPr id="2042881" name="Button 1" hidden="1">
              <a:extLst>
                <a:ext uri="{63B3BB69-23CF-44E3-9099-C40C66FF867C}">
                  <a14:compatExt spid="_x0000_s20428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Calculate Tensile Strain Capacities</a:t>
              </a:r>
              <a:endParaRPr lang="en-CA"/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1</xdr:rowOff>
    </xdr:from>
    <xdr:to>
      <xdr:col>11</xdr:col>
      <xdr:colOff>304800</xdr:colOff>
      <xdr:row>4</xdr:row>
      <xdr:rowOff>123825</xdr:rowOff>
    </xdr:to>
    <xdr:sp macro="" textlink="">
      <xdr:nvSpPr>
        <xdr:cNvPr id="2" name="TextBox 1"/>
        <xdr:cNvSpPr txBox="1"/>
      </xdr:nvSpPr>
      <xdr:spPr>
        <a:xfrm>
          <a:off x="0" y="381001"/>
          <a:ext cx="7010400" cy="50482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TSCp</a:t>
          </a:r>
          <a:r>
            <a:rPr lang="en-CA" sz="1100" baseline="0"/>
            <a:t> = tensile strain capacity of pipes with the wall thickness 15.9 mm and pressure factor of 0.72 --&gt; Hoop stress = 72 % of the actual yield strength</a:t>
          </a:r>
          <a:endParaRPr lang="en-CA" sz="1100"/>
        </a:p>
      </xdr:txBody>
    </xdr:sp>
    <xdr:clientData/>
  </xdr:twoCellAnchor>
  <xdr:twoCellAnchor editAs="oneCell">
    <xdr:from>
      <xdr:col>13</xdr:col>
      <xdr:colOff>152400</xdr:colOff>
      <xdr:row>2</xdr:row>
      <xdr:rowOff>123825</xdr:rowOff>
    </xdr:from>
    <xdr:to>
      <xdr:col>17</xdr:col>
      <xdr:colOff>411403</xdr:colOff>
      <xdr:row>11</xdr:row>
      <xdr:rowOff>181237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077200" y="504825"/>
          <a:ext cx="3210373" cy="1876687"/>
        </a:xfrm>
        <a:prstGeom prst="rect">
          <a:avLst/>
        </a:prstGeom>
      </xdr:spPr>
    </xdr:pic>
    <xdr:clientData/>
  </xdr:twoCellAnchor>
  <xdr:twoCellAnchor>
    <xdr:from>
      <xdr:col>0</xdr:col>
      <xdr:colOff>177799</xdr:colOff>
      <xdr:row>82</xdr:row>
      <xdr:rowOff>46037</xdr:rowOff>
    </xdr:from>
    <xdr:to>
      <xdr:col>10</xdr:col>
      <xdr:colOff>148286</xdr:colOff>
      <xdr:row>96</xdr:row>
      <xdr:rowOff>83585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15</xdr:row>
          <xdr:rowOff>9525</xdr:rowOff>
        </xdr:from>
        <xdr:to>
          <xdr:col>2</xdr:col>
          <xdr:colOff>457200</xdr:colOff>
          <xdr:row>18</xdr:row>
          <xdr:rowOff>47625</xdr:rowOff>
        </xdr:to>
        <xdr:sp macro="" textlink="">
          <xdr:nvSpPr>
            <xdr:cNvPr id="2043912" name="Object 8" hidden="1">
              <a:extLst>
                <a:ext uri="{63B3BB69-23CF-44E3-9099-C40C66FF867C}">
                  <a14:compatExt spid="_x0000_s204391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304800</xdr:colOff>
          <xdr:row>14</xdr:row>
          <xdr:rowOff>171450</xdr:rowOff>
        </xdr:from>
        <xdr:to>
          <xdr:col>6</xdr:col>
          <xdr:colOff>314325</xdr:colOff>
          <xdr:row>17</xdr:row>
          <xdr:rowOff>95250</xdr:rowOff>
        </xdr:to>
        <xdr:sp macro="" textlink="">
          <xdr:nvSpPr>
            <xdr:cNvPr id="2043915" name="Object 11" hidden="1">
              <a:extLst>
                <a:ext uri="{63B3BB69-23CF-44E3-9099-C40C66FF867C}">
                  <a14:compatExt spid="_x0000_s204391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285750</xdr:colOff>
          <xdr:row>62</xdr:row>
          <xdr:rowOff>200025</xdr:rowOff>
        </xdr:from>
        <xdr:to>
          <xdr:col>12</xdr:col>
          <xdr:colOff>485775</xdr:colOff>
          <xdr:row>64</xdr:row>
          <xdr:rowOff>133350</xdr:rowOff>
        </xdr:to>
        <xdr:sp macro="" textlink="">
          <xdr:nvSpPr>
            <xdr:cNvPr id="2043916" name="Button 12" hidden="1">
              <a:extLst>
                <a:ext uri="{63B3BB69-23CF-44E3-9099-C40C66FF867C}">
                  <a14:compatExt spid="_x0000_s204391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Calc TSCp</a:t>
              </a:r>
              <a:endParaRPr lang="en-CA"/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114300</xdr:colOff>
      <xdr:row>27</xdr:row>
      <xdr:rowOff>12700</xdr:rowOff>
    </xdr:from>
    <xdr:to>
      <xdr:col>12</xdr:col>
      <xdr:colOff>429690</xdr:colOff>
      <xdr:row>42</xdr:row>
      <xdr:rowOff>41678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5308600"/>
          <a:ext cx="7630590" cy="2886478"/>
        </a:xfrm>
        <a:prstGeom prst="rect">
          <a:avLst/>
        </a:prstGeom>
      </xdr:spPr>
    </xdr:pic>
    <xdr:clientData/>
  </xdr:twoCellAnchor>
  <xdr:twoCellAnchor>
    <xdr:from>
      <xdr:col>11</xdr:col>
      <xdr:colOff>225425</xdr:colOff>
      <xdr:row>65</xdr:row>
      <xdr:rowOff>155575</xdr:rowOff>
    </xdr:from>
    <xdr:to>
      <xdr:col>14</xdr:col>
      <xdr:colOff>82550</xdr:colOff>
      <xdr:row>73</xdr:row>
      <xdr:rowOff>3175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9" name="TextBox 8"/>
            <xdr:cNvSpPr txBox="1"/>
          </xdr:nvSpPr>
          <xdr:spPr>
            <a:xfrm>
              <a:off x="6931025" y="12728575"/>
              <a:ext cx="1685925" cy="13716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>
                <a:lnSpc>
                  <a:spcPts val="1200"/>
                </a:lnSpc>
              </a:pPr>
              <a:r>
                <a:rPr lang="en-CA" sz="1100" b="1">
                  <a:solidFill>
                    <a:srgbClr val="FF0000"/>
                  </a:solidFill>
                </a:rPr>
                <a:t>Click on the cell at the upper left corner of the table (</a:t>
              </a:r>
              <a14:m>
                <m:oMath xmlns:m="http://schemas.openxmlformats.org/officeDocument/2006/math">
                  <m:r>
                    <a:rPr lang="en-CA" sz="1100" b="1" i="1">
                      <a:solidFill>
                        <a:srgbClr val="FF0000"/>
                      </a:solidFill>
                      <a:latin typeface="Cambria Math"/>
                    </a:rPr>
                    <m:t>𝜷</m:t>
                  </m:r>
                </m:oMath>
              </a14:m>
              <a:r>
                <a:rPr lang="en-CA" sz="1100" b="1">
                  <a:solidFill>
                    <a:srgbClr val="FF0000"/>
                  </a:solidFill>
                </a:rPr>
                <a:t>) before clicking</a:t>
              </a:r>
              <a:r>
                <a:rPr lang="en-CA" sz="1100" b="1" baseline="0">
                  <a:solidFill>
                    <a:srgbClr val="FF0000"/>
                  </a:solidFill>
                </a:rPr>
                <a:t> on the command button calculating the tensile strain capacities</a:t>
              </a:r>
              <a:r>
                <a:rPr lang="en-CA" sz="1100" b="1">
                  <a:solidFill>
                    <a:srgbClr val="FF0000"/>
                  </a:solidFill>
                </a:rPr>
                <a:t>. </a:t>
              </a:r>
            </a:p>
          </xdr:txBody>
        </xdr:sp>
      </mc:Choice>
      <mc:Fallback xmlns="">
        <xdr:sp macro="" textlink="">
          <xdr:nvSpPr>
            <xdr:cNvPr id="9" name="TextBox 8"/>
            <xdr:cNvSpPr txBox="1"/>
          </xdr:nvSpPr>
          <xdr:spPr>
            <a:xfrm>
              <a:off x="6931025" y="12728575"/>
              <a:ext cx="1685925" cy="1371600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>
                <a:lnSpc>
                  <a:spcPts val="1200"/>
                </a:lnSpc>
              </a:pPr>
              <a:r>
                <a:rPr lang="en-CA" sz="1100" b="1">
                  <a:solidFill>
                    <a:srgbClr val="FF0000"/>
                  </a:solidFill>
                </a:rPr>
                <a:t>Click on the cell at the upper left corner of the table (</a:t>
              </a:r>
              <a:r>
                <a:rPr lang="en-CA" sz="1100" b="1" i="0">
                  <a:solidFill>
                    <a:srgbClr val="FF0000"/>
                  </a:solidFill>
                  <a:latin typeface="Cambria Math"/>
                </a:rPr>
                <a:t>𝜷</a:t>
              </a:r>
              <a:r>
                <a:rPr lang="en-CA" sz="1100" b="1">
                  <a:solidFill>
                    <a:srgbClr val="FF0000"/>
                  </a:solidFill>
                </a:rPr>
                <a:t>) before clicking</a:t>
              </a:r>
              <a:r>
                <a:rPr lang="en-CA" sz="1100" b="1" baseline="0">
                  <a:solidFill>
                    <a:srgbClr val="FF0000"/>
                  </a:solidFill>
                </a:rPr>
                <a:t> on the command button calculating the tensile strain capacities</a:t>
              </a:r>
              <a:r>
                <a:rPr lang="en-CA" sz="1100" b="1">
                  <a:solidFill>
                    <a:srgbClr val="FF0000"/>
                  </a:solidFill>
                </a:rPr>
                <a:t>. </a:t>
              </a:r>
            </a:p>
          </xdr:txBody>
        </xdr:sp>
      </mc:Fallback>
    </mc:AlternateContent>
    <xdr:clientData/>
  </xdr:twoCellAnchor>
  <xdr:twoCellAnchor editAs="oneCell">
    <xdr:from>
      <xdr:col>0</xdr:col>
      <xdr:colOff>12700</xdr:colOff>
      <xdr:row>43</xdr:row>
      <xdr:rowOff>38100</xdr:rowOff>
    </xdr:from>
    <xdr:to>
      <xdr:col>11</xdr:col>
      <xdr:colOff>4110</xdr:colOff>
      <xdr:row>61</xdr:row>
      <xdr:rowOff>67158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0" y="8382000"/>
          <a:ext cx="6697010" cy="3458058"/>
        </a:xfrm>
        <a:prstGeom prst="rect">
          <a:avLst/>
        </a:prstGeom>
      </xdr:spPr>
    </xdr:pic>
    <xdr:clientData/>
  </xdr:twoCellAnchor>
  <xdr:twoCellAnchor>
    <xdr:from>
      <xdr:col>15</xdr:col>
      <xdr:colOff>38100</xdr:colOff>
      <xdr:row>18</xdr:row>
      <xdr:rowOff>101600</xdr:rowOff>
    </xdr:from>
    <xdr:to>
      <xdr:col>19</xdr:col>
      <xdr:colOff>571500</xdr:colOff>
      <xdr:row>30</xdr:row>
      <xdr:rowOff>92075</xdr:rowOff>
    </xdr:to>
    <xdr:pic>
      <xdr:nvPicPr>
        <xdr:cNvPr id="37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82100" y="3683000"/>
          <a:ext cx="2971800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20</xdr:col>
      <xdr:colOff>127000</xdr:colOff>
      <xdr:row>18</xdr:row>
      <xdr:rowOff>127000</xdr:rowOff>
    </xdr:from>
    <xdr:to>
      <xdr:col>25</xdr:col>
      <xdr:colOff>41275</xdr:colOff>
      <xdr:row>30</xdr:row>
      <xdr:rowOff>117475</xdr:rowOff>
    </xdr:to>
    <xdr:pic>
      <xdr:nvPicPr>
        <xdr:cNvPr id="38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19000" y="3708400"/>
          <a:ext cx="29622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88900</xdr:colOff>
      <xdr:row>31</xdr:row>
      <xdr:rowOff>88900</xdr:rowOff>
    </xdr:from>
    <xdr:to>
      <xdr:col>20</xdr:col>
      <xdr:colOff>12700</xdr:colOff>
      <xdr:row>43</xdr:row>
      <xdr:rowOff>79375</xdr:rowOff>
    </xdr:to>
    <xdr:pic>
      <xdr:nvPicPr>
        <xdr:cNvPr id="39" name="Picture 5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32900" y="6146800"/>
          <a:ext cx="2971800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20</xdr:col>
      <xdr:colOff>152400</xdr:colOff>
      <xdr:row>31</xdr:row>
      <xdr:rowOff>101600</xdr:rowOff>
    </xdr:from>
    <xdr:to>
      <xdr:col>25</xdr:col>
      <xdr:colOff>66675</xdr:colOff>
      <xdr:row>43</xdr:row>
      <xdr:rowOff>92075</xdr:rowOff>
    </xdr:to>
    <xdr:pic>
      <xdr:nvPicPr>
        <xdr:cNvPr id="40" name="Picture 13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44400" y="6159500"/>
          <a:ext cx="29622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15</xdr:col>
      <xdr:colOff>76200</xdr:colOff>
      <xdr:row>44</xdr:row>
      <xdr:rowOff>63500</xdr:rowOff>
    </xdr:from>
    <xdr:to>
      <xdr:col>20</xdr:col>
      <xdr:colOff>0</xdr:colOff>
      <xdr:row>56</xdr:row>
      <xdr:rowOff>53975</xdr:rowOff>
    </xdr:to>
    <xdr:pic>
      <xdr:nvPicPr>
        <xdr:cNvPr id="41" name="Picture 10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8597900"/>
          <a:ext cx="2971800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20</xdr:col>
      <xdr:colOff>165100</xdr:colOff>
      <xdr:row>44</xdr:row>
      <xdr:rowOff>76200</xdr:rowOff>
    </xdr:from>
    <xdr:to>
      <xdr:col>25</xdr:col>
      <xdr:colOff>79375</xdr:colOff>
      <xdr:row>56</xdr:row>
      <xdr:rowOff>66675</xdr:rowOff>
    </xdr:to>
    <xdr:pic>
      <xdr:nvPicPr>
        <xdr:cNvPr id="42" name="Picture 24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57100" y="8610600"/>
          <a:ext cx="2962275" cy="22764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59</xdr:row>
      <xdr:rowOff>0</xdr:rowOff>
    </xdr:from>
    <xdr:to>
      <xdr:col>21</xdr:col>
      <xdr:colOff>345109</xdr:colOff>
      <xdr:row>78</xdr:row>
      <xdr:rowOff>18415</xdr:rowOff>
    </xdr:to>
    <xdr:pic>
      <xdr:nvPicPr>
        <xdr:cNvPr id="43" name="Picture 42"/>
        <xdr:cNvPicPr/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53600" y="11430000"/>
          <a:ext cx="4584700" cy="3676015"/>
        </a:xfrm>
        <a:prstGeom prst="rect">
          <a:avLst/>
        </a:prstGeom>
        <a:noFill/>
      </xdr:spPr>
    </xdr:pic>
    <xdr:clientData/>
  </xdr:twoCellAnchor>
  <xdr:twoCellAnchor>
    <xdr:from>
      <xdr:col>17</xdr:col>
      <xdr:colOff>317500</xdr:colOff>
      <xdr:row>78</xdr:row>
      <xdr:rowOff>165100</xdr:rowOff>
    </xdr:from>
    <xdr:to>
      <xdr:col>17</xdr:col>
      <xdr:colOff>603250</xdr:colOff>
      <xdr:row>79</xdr:row>
      <xdr:rowOff>187325</xdr:rowOff>
    </xdr:to>
    <xdr:pic>
      <xdr:nvPicPr>
        <xdr:cNvPr id="44" name="Picture 43"/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680700" y="15214600"/>
          <a:ext cx="285750" cy="212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20</xdr:col>
      <xdr:colOff>0</xdr:colOff>
      <xdr:row>79</xdr:row>
      <xdr:rowOff>12700</xdr:rowOff>
    </xdr:from>
    <xdr:to>
      <xdr:col>20</xdr:col>
      <xdr:colOff>85725</xdr:colOff>
      <xdr:row>80</xdr:row>
      <xdr:rowOff>22225</xdr:rowOff>
    </xdr:to>
    <xdr:pic>
      <xdr:nvPicPr>
        <xdr:cNvPr id="45" name="Picture 44"/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0" y="15252700"/>
          <a:ext cx="85725" cy="212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20</xdr:col>
      <xdr:colOff>533400</xdr:colOff>
      <xdr:row>79</xdr:row>
      <xdr:rowOff>50800</xdr:rowOff>
    </xdr:from>
    <xdr:to>
      <xdr:col>21</xdr:col>
      <xdr:colOff>447675</xdr:colOff>
      <xdr:row>80</xdr:row>
      <xdr:rowOff>60325</xdr:rowOff>
    </xdr:to>
    <xdr:pic>
      <xdr:nvPicPr>
        <xdr:cNvPr id="46" name="Picture 45"/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clrChange>
            <a:clrFrom>
              <a:srgbClr val="FFFFFF"/>
            </a:clrFrom>
            <a:clrTo>
              <a:srgbClr val="FFFFFF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725400" y="15290800"/>
          <a:ext cx="523875" cy="2127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16</xdr:col>
      <xdr:colOff>0</xdr:colOff>
      <xdr:row>82</xdr:row>
      <xdr:rowOff>0</xdr:rowOff>
    </xdr:from>
    <xdr:to>
      <xdr:col>21</xdr:col>
      <xdr:colOff>346379</xdr:colOff>
      <xdr:row>98</xdr:row>
      <xdr:rowOff>47625</xdr:rowOff>
    </xdr:to>
    <xdr:pic>
      <xdr:nvPicPr>
        <xdr:cNvPr id="47" name="Picture 46"/>
        <xdr:cNvPicPr/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753600" y="15824200"/>
          <a:ext cx="4585970" cy="3095625"/>
        </a:xfrm>
        <a:prstGeom prst="rect">
          <a:avLst/>
        </a:prstGeom>
        <a:noFill/>
      </xdr:spPr>
    </xdr:pic>
    <xdr:clientData/>
  </xdr:twoCellAnchor>
  <xdr:twoCellAnchor editAs="oneCell">
    <xdr:from>
      <xdr:col>16</xdr:col>
      <xdr:colOff>393700</xdr:colOff>
      <xdr:row>98</xdr:row>
      <xdr:rowOff>152400</xdr:rowOff>
    </xdr:from>
    <xdr:to>
      <xdr:col>21</xdr:col>
      <xdr:colOff>22985</xdr:colOff>
      <xdr:row>100</xdr:row>
      <xdr:rowOff>82510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147300" y="19024600"/>
          <a:ext cx="3866667" cy="32381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20</xdr:row>
      <xdr:rowOff>0</xdr:rowOff>
    </xdr:from>
    <xdr:to>
      <xdr:col>4</xdr:col>
      <xdr:colOff>581447</xdr:colOff>
      <xdr:row>24</xdr:row>
      <xdr:rowOff>133475</xdr:rowOff>
    </xdr:to>
    <xdr:pic>
      <xdr:nvPicPr>
        <xdr:cNvPr id="50" name="Picture 49"/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962400"/>
          <a:ext cx="3019847" cy="895475"/>
        </a:xfrm>
        <a:prstGeom prst="rect">
          <a:avLst/>
        </a:prstGeom>
      </xdr:spPr>
    </xdr:pic>
    <xdr:clientData/>
  </xdr:twoCellAnchor>
  <xdr:twoCellAnchor editAs="oneCell">
    <xdr:from>
      <xdr:col>5</xdr:col>
      <xdr:colOff>0</xdr:colOff>
      <xdr:row>21</xdr:row>
      <xdr:rowOff>63500</xdr:rowOff>
    </xdr:from>
    <xdr:to>
      <xdr:col>8</xdr:col>
      <xdr:colOff>371782</xdr:colOff>
      <xdr:row>23</xdr:row>
      <xdr:rowOff>111185</xdr:rowOff>
    </xdr:to>
    <xdr:pic>
      <xdr:nvPicPr>
        <xdr:cNvPr id="51" name="Picture 50"/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4216400"/>
          <a:ext cx="2200582" cy="428685"/>
        </a:xfrm>
        <a:prstGeom prst="rect">
          <a:avLst/>
        </a:prstGeom>
      </xdr:spPr>
    </xdr:pic>
    <xdr:clientData/>
  </xdr:twoCellAnchor>
  <xdr:twoCellAnchor editAs="oneCell">
    <xdr:from>
      <xdr:col>0</xdr:col>
      <xdr:colOff>1</xdr:colOff>
      <xdr:row>77</xdr:row>
      <xdr:rowOff>0</xdr:rowOff>
    </xdr:from>
    <xdr:to>
      <xdr:col>13</xdr:col>
      <xdr:colOff>1</xdr:colOff>
      <xdr:row>81</xdr:row>
      <xdr:rowOff>32220</xdr:rowOff>
    </xdr:to>
    <xdr:pic>
      <xdr:nvPicPr>
        <xdr:cNvPr id="52" name="Picture 51"/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" y="14859000"/>
          <a:ext cx="7924800" cy="806920"/>
        </a:xfrm>
        <a:prstGeom prst="rect">
          <a:avLst/>
        </a:prstGeom>
      </xdr:spPr>
    </xdr:pic>
    <xdr:clientData/>
  </xdr:twoCellAnchor>
  <xdr:twoCellAnchor>
    <xdr:from>
      <xdr:col>5</xdr:col>
      <xdr:colOff>88347</xdr:colOff>
      <xdr:row>100</xdr:row>
      <xdr:rowOff>70954</xdr:rowOff>
    </xdr:from>
    <xdr:to>
      <xdr:col>12</xdr:col>
      <xdr:colOff>408608</xdr:colOff>
      <xdr:row>114</xdr:row>
      <xdr:rowOff>108501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66675</xdr:colOff>
      <xdr:row>0</xdr:row>
      <xdr:rowOff>0</xdr:rowOff>
    </xdr:from>
    <xdr:to>
      <xdr:col>20</xdr:col>
      <xdr:colOff>190500</xdr:colOff>
      <xdr:row>12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247650</xdr:colOff>
          <xdr:row>52</xdr:row>
          <xdr:rowOff>47624</xdr:rowOff>
        </xdr:from>
        <xdr:to>
          <xdr:col>16</xdr:col>
          <xdr:colOff>180975</xdr:colOff>
          <xdr:row>55</xdr:row>
          <xdr:rowOff>114299</xdr:rowOff>
        </xdr:to>
        <xdr:sp macro="" textlink="">
          <xdr:nvSpPr>
            <xdr:cNvPr id="2044929" name="Button 1" hidden="1">
              <a:extLst>
                <a:ext uri="{63B3BB69-23CF-44E3-9099-C40C66FF867C}">
                  <a14:compatExt spid="_x0000_s20449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9 control points Calc </a:t>
              </a:r>
              <a:r>
                <a:rPr lang="en-CA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ε</a:t>
              </a:r>
              <a:endParaRPr lang="en-CA"/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233362</xdr:colOff>
      <xdr:row>28</xdr:row>
      <xdr:rowOff>123825</xdr:rowOff>
    </xdr:from>
    <xdr:to>
      <xdr:col>21</xdr:col>
      <xdr:colOff>419887</xdr:colOff>
      <xdr:row>43</xdr:row>
      <xdr:rowOff>9525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219075</xdr:colOff>
          <xdr:row>62</xdr:row>
          <xdr:rowOff>180975</xdr:rowOff>
        </xdr:from>
        <xdr:to>
          <xdr:col>16</xdr:col>
          <xdr:colOff>152400</xdr:colOff>
          <xdr:row>66</xdr:row>
          <xdr:rowOff>57150</xdr:rowOff>
        </xdr:to>
        <xdr:sp macro="" textlink="">
          <xdr:nvSpPr>
            <xdr:cNvPr id="2044930" name="Button 2" hidden="1">
              <a:extLst>
                <a:ext uri="{63B3BB69-23CF-44E3-9099-C40C66FF867C}">
                  <a14:compatExt spid="_x0000_s20449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 control points Calc </a:t>
              </a:r>
              <a:r>
                <a:rPr lang="en-CA" sz="1100" b="0" i="0" u="none" strike="noStrike" baseline="0">
                  <a:solidFill>
                    <a:srgbClr val="000000"/>
                  </a:solidFill>
                  <a:latin typeface="Times New Roman"/>
                  <a:cs typeface="Times New Roman"/>
                </a:rPr>
                <a:t>ε</a:t>
              </a:r>
              <a:endParaRPr lang="en-CA"/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361950</xdr:colOff>
      <xdr:row>77</xdr:row>
      <xdr:rowOff>161925</xdr:rowOff>
    </xdr:from>
    <xdr:to>
      <xdr:col>22</xdr:col>
      <xdr:colOff>310350</xdr:colOff>
      <xdr:row>92</xdr:row>
      <xdr:rowOff>47625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61912</xdr:colOff>
      <xdr:row>12</xdr:row>
      <xdr:rowOff>171450</xdr:rowOff>
    </xdr:from>
    <xdr:to>
      <xdr:col>23</xdr:col>
      <xdr:colOff>428625</xdr:colOff>
      <xdr:row>26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30</xdr:col>
      <xdr:colOff>385762</xdr:colOff>
      <xdr:row>13</xdr:row>
      <xdr:rowOff>85725</xdr:rowOff>
    </xdr:from>
    <xdr:to>
      <xdr:col>38</xdr:col>
      <xdr:colOff>80962</xdr:colOff>
      <xdr:row>27</xdr:row>
      <xdr:rowOff>123825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0.76218</cdr:x>
      <cdr:y>0.77778</cdr:y>
    </cdr:from>
    <cdr:to>
      <cdr:x>0.98734</cdr:x>
      <cdr:y>0.95486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062414" y="2133600"/>
          <a:ext cx="1200150" cy="4857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CA" sz="1100" b="1"/>
            <a:t>surface plot for 9 control points</a:t>
          </a: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0.75473</cdr:x>
      <cdr:y>0.76505</cdr:y>
    </cdr:from>
    <cdr:to>
      <cdr:x>0.9799</cdr:x>
      <cdr:y>0.94213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022725" y="2098675"/>
          <a:ext cx="1200150" cy="4857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CA" sz="1100" b="1"/>
            <a:t>surface plot for 20 control points</a:t>
          </a: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5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4.w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3.wmf"/><Relationship Id="rId4" Type="http://schemas.openxmlformats.org/officeDocument/2006/relationships/oleObject" Target="../embeddings/oleObject1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I199"/>
  <sheetViews>
    <sheetView showGridLines="0" topLeftCell="A64" zoomScaleNormal="100" workbookViewId="0">
      <selection activeCell="B80" sqref="B80"/>
    </sheetView>
  </sheetViews>
  <sheetFormatPr defaultRowHeight="15" x14ac:dyDescent="0.25"/>
  <cols>
    <col min="1" max="1" width="12.28515625" customWidth="1"/>
    <col min="2" max="2" width="7" customWidth="1"/>
    <col min="3" max="3" width="11" customWidth="1"/>
    <col min="4" max="4" width="14.85546875" bestFit="1" customWidth="1"/>
    <col min="5" max="5" width="9" customWidth="1"/>
    <col min="6" max="6" width="7.140625" customWidth="1"/>
    <col min="7" max="7" width="8.5703125" customWidth="1"/>
    <col min="8" max="8" width="6.28515625" customWidth="1"/>
    <col min="9" max="9" width="7.42578125" customWidth="1"/>
    <col min="10" max="10" width="7.7109375" customWidth="1"/>
    <col min="24" max="24" width="12" bestFit="1" customWidth="1"/>
    <col min="25" max="25" width="14.7109375" bestFit="1" customWidth="1"/>
    <col min="26" max="26" width="12" bestFit="1" customWidth="1"/>
    <col min="27" max="28" width="11.140625" bestFit="1" customWidth="1"/>
    <col min="29" max="29" width="12.140625" bestFit="1" customWidth="1"/>
    <col min="30" max="30" width="14.85546875" style="2" bestFit="1" customWidth="1"/>
    <col min="31" max="31" width="13.85546875" style="2" bestFit="1" customWidth="1"/>
    <col min="32" max="32" width="12.5703125" style="2" bestFit="1" customWidth="1"/>
    <col min="33" max="33" width="13.85546875" bestFit="1" customWidth="1"/>
    <col min="34" max="35" width="12.5703125" bestFit="1" customWidth="1"/>
  </cols>
  <sheetData>
    <row r="1" spans="1:1" x14ac:dyDescent="0.25">
      <c r="A1" s="1" t="s">
        <v>2</v>
      </c>
    </row>
    <row r="2" spans="1:1" x14ac:dyDescent="0.25">
      <c r="A2" t="s">
        <v>0</v>
      </c>
    </row>
    <row r="3" spans="1:1" x14ac:dyDescent="0.25">
      <c r="A3" t="s">
        <v>1</v>
      </c>
    </row>
    <row r="8" spans="1:1" x14ac:dyDescent="0.25">
      <c r="A8" t="s">
        <v>27</v>
      </c>
    </row>
    <row r="23" spans="1:8" ht="24.75" x14ac:dyDescent="0.45">
      <c r="C23" s="6" t="s">
        <v>19</v>
      </c>
    </row>
    <row r="25" spans="1:8" ht="24.75" x14ac:dyDescent="0.45">
      <c r="F25" s="6" t="s">
        <v>20</v>
      </c>
    </row>
    <row r="27" spans="1:8" x14ac:dyDescent="0.25">
      <c r="A27" t="s">
        <v>3</v>
      </c>
      <c r="H27" t="s">
        <v>21</v>
      </c>
    </row>
    <row r="29" spans="1:8" x14ac:dyDescent="0.25">
      <c r="A29" t="s">
        <v>4</v>
      </c>
      <c r="H29" t="s">
        <v>5</v>
      </c>
    </row>
    <row r="34" spans="1:1" x14ac:dyDescent="0.25">
      <c r="A34" t="s">
        <v>26</v>
      </c>
    </row>
    <row r="53" spans="1:9" ht="24.75" x14ac:dyDescent="0.45">
      <c r="A53" s="6" t="s">
        <v>22</v>
      </c>
    </row>
    <row r="54" spans="1:9" ht="23.25" x14ac:dyDescent="0.35">
      <c r="B54" s="6" t="s">
        <v>23</v>
      </c>
    </row>
    <row r="56" spans="1:9" ht="24.75" x14ac:dyDescent="0.45">
      <c r="F56" s="6" t="s">
        <v>24</v>
      </c>
    </row>
    <row r="58" spans="1:9" x14ac:dyDescent="0.25">
      <c r="A58" t="s">
        <v>3</v>
      </c>
      <c r="I58" t="s">
        <v>4</v>
      </c>
    </row>
    <row r="60" spans="1:9" x14ac:dyDescent="0.25">
      <c r="A60" t="s">
        <v>5</v>
      </c>
      <c r="I60" t="s">
        <v>6</v>
      </c>
    </row>
    <row r="62" spans="1:9" x14ac:dyDescent="0.25">
      <c r="A62" t="s">
        <v>7</v>
      </c>
      <c r="I62" t="s">
        <v>8</v>
      </c>
    </row>
    <row r="63" spans="1:9" x14ac:dyDescent="0.25">
      <c r="A63" s="1" t="s">
        <v>9</v>
      </c>
    </row>
    <row r="64" spans="1:9" x14ac:dyDescent="0.25">
      <c r="A64" t="s">
        <v>10</v>
      </c>
    </row>
    <row r="65" spans="1:35" x14ac:dyDescent="0.25">
      <c r="A65" s="3" t="s">
        <v>11</v>
      </c>
      <c r="B65" s="2" t="s">
        <v>12</v>
      </c>
      <c r="C65" s="2" t="s">
        <v>13</v>
      </c>
      <c r="D65" s="2"/>
      <c r="E65" s="2" t="s">
        <v>14</v>
      </c>
      <c r="F65" s="2"/>
      <c r="G65" s="2" t="s">
        <v>15</v>
      </c>
      <c r="H65" s="2"/>
      <c r="I65" s="2" t="s">
        <v>36</v>
      </c>
    </row>
    <row r="66" spans="1:35" ht="18.75" x14ac:dyDescent="0.35">
      <c r="A66" s="10" t="s">
        <v>32</v>
      </c>
    </row>
    <row r="67" spans="1:35" x14ac:dyDescent="0.25">
      <c r="A67" s="4" t="s">
        <v>16</v>
      </c>
      <c r="B67" s="5">
        <v>0.8</v>
      </c>
      <c r="C67" s="4" t="s">
        <v>25</v>
      </c>
      <c r="D67" s="60">
        <v>0.2</v>
      </c>
    </row>
    <row r="68" spans="1:35" x14ac:dyDescent="0.25">
      <c r="A68" s="7" t="s">
        <v>17</v>
      </c>
      <c r="B68" s="112">
        <v>1.5</v>
      </c>
      <c r="C68" s="104">
        <v>2</v>
      </c>
      <c r="D68" s="104">
        <v>3</v>
      </c>
      <c r="E68" s="104">
        <v>4</v>
      </c>
      <c r="F68" s="104">
        <v>5</v>
      </c>
      <c r="G68" s="104">
        <v>6</v>
      </c>
      <c r="H68" s="104">
        <v>7</v>
      </c>
      <c r="I68" s="104">
        <v>8</v>
      </c>
      <c r="J68" s="104">
        <v>9</v>
      </c>
      <c r="K68" s="108">
        <v>10</v>
      </c>
    </row>
    <row r="69" spans="1:35" x14ac:dyDescent="0.25">
      <c r="A69" s="7" t="s">
        <v>18</v>
      </c>
      <c r="B69" s="113"/>
      <c r="C69" s="105"/>
      <c r="D69" s="105"/>
      <c r="E69" s="105"/>
      <c r="F69" s="105"/>
      <c r="G69" s="105"/>
      <c r="H69" s="105"/>
      <c r="I69" s="105"/>
      <c r="J69" s="105"/>
      <c r="K69" s="109"/>
    </row>
    <row r="70" spans="1:35" x14ac:dyDescent="0.25">
      <c r="A70" s="8">
        <v>0.1</v>
      </c>
      <c r="B70" s="95">
        <v>2.2692217826843262</v>
      </c>
      <c r="C70" s="146">
        <v>2.0517332553863525</v>
      </c>
      <c r="D70" s="146">
        <v>1.7743023633956909</v>
      </c>
      <c r="E70" s="146">
        <v>1.5970814228057861</v>
      </c>
      <c r="F70" s="146">
        <v>1.4703360795974731</v>
      </c>
      <c r="G70" s="146">
        <v>1.3735014200210571</v>
      </c>
      <c r="H70" s="146">
        <v>1.2962210178375244</v>
      </c>
      <c r="I70" s="146">
        <v>1.2326000928878784</v>
      </c>
      <c r="J70" s="146">
        <v>1.1789885759353638</v>
      </c>
      <c r="K70" s="147">
        <v>1.1329821348190308</v>
      </c>
    </row>
    <row r="71" spans="1:35" x14ac:dyDescent="0.25">
      <c r="A71" s="9">
        <v>0.14000000000000001</v>
      </c>
      <c r="B71" s="95">
        <v>1.936552882194519</v>
      </c>
      <c r="C71" s="146">
        <v>1.7436627149581909</v>
      </c>
      <c r="D71" s="146">
        <v>1.4985144138336182</v>
      </c>
      <c r="E71" s="146">
        <v>1.3425663709640503</v>
      </c>
      <c r="F71" s="146">
        <v>1.2313851118087769</v>
      </c>
      <c r="G71" s="146">
        <v>1.1466329097747803</v>
      </c>
      <c r="H71" s="146">
        <v>1.0790927410125732</v>
      </c>
      <c r="I71" s="146">
        <v>1.0235269069671631</v>
      </c>
      <c r="J71" s="146">
        <v>0.97669720649719238</v>
      </c>
      <c r="K71" s="148">
        <v>0.936473548412323</v>
      </c>
    </row>
    <row r="72" spans="1:35" x14ac:dyDescent="0.25">
      <c r="A72" s="9">
        <v>0.18</v>
      </c>
      <c r="B72" s="95">
        <v>1.7115687131881714</v>
      </c>
      <c r="C72" s="146">
        <v>1.5355085134506226</v>
      </c>
      <c r="D72" s="146">
        <v>1.3123377561569214</v>
      </c>
      <c r="E72" s="146">
        <v>1.1707206964492798</v>
      </c>
      <c r="F72" s="146">
        <v>1.0698729753494263</v>
      </c>
      <c r="G72" s="146">
        <v>0.99299389123916626</v>
      </c>
      <c r="H72" s="146">
        <v>0.93165212869644165</v>
      </c>
      <c r="I72" s="146">
        <v>0.88106322288513184</v>
      </c>
      <c r="J72" s="146">
        <v>0.83827221393585205</v>
      </c>
      <c r="K72" s="148">
        <v>0.80133700370788574</v>
      </c>
      <c r="Z72" t="s">
        <v>98</v>
      </c>
      <c r="AA72" s="59" t="s">
        <v>107</v>
      </c>
      <c r="AD72" s="114" t="s">
        <v>119</v>
      </c>
      <c r="AE72" s="115"/>
      <c r="AF72" s="115"/>
      <c r="AG72" s="115"/>
      <c r="AH72" s="115"/>
    </row>
    <row r="73" spans="1:35" x14ac:dyDescent="0.25">
      <c r="A73" s="9">
        <v>0.22</v>
      </c>
      <c r="B73" s="95">
        <v>1.5451667308807373</v>
      </c>
      <c r="C73" s="146">
        <v>1.3816163539886475</v>
      </c>
      <c r="D73" s="146">
        <v>1.174649715423584</v>
      </c>
      <c r="E73" s="146">
        <v>1.0434294939041138</v>
      </c>
      <c r="F73" s="146">
        <v>0.94991093873977661</v>
      </c>
      <c r="G73" s="146">
        <v>0.87844806909561157</v>
      </c>
      <c r="H73" s="146">
        <v>0.82119888067245483</v>
      </c>
      <c r="I73" s="146">
        <v>0.77371746301651001</v>
      </c>
      <c r="J73" s="146">
        <v>0.73325902223587036</v>
      </c>
      <c r="K73" s="148">
        <v>0.69801908731460571</v>
      </c>
      <c r="X73" s="24" t="s">
        <v>93</v>
      </c>
      <c r="Y73" s="24" t="s">
        <v>99</v>
      </c>
      <c r="Z73" s="24" t="s">
        <v>94</v>
      </c>
      <c r="AA73" s="24" t="s">
        <v>100</v>
      </c>
      <c r="AB73" s="24" t="s">
        <v>101</v>
      </c>
      <c r="AD73" s="24" t="s">
        <v>95</v>
      </c>
      <c r="AE73" s="24" t="s">
        <v>110</v>
      </c>
      <c r="AF73" s="24" t="s">
        <v>96</v>
      </c>
      <c r="AG73" s="24" t="s">
        <v>111</v>
      </c>
      <c r="AH73" s="24" t="s">
        <v>97</v>
      </c>
      <c r="AI73" s="24" t="s">
        <v>112</v>
      </c>
    </row>
    <row r="74" spans="1:35" x14ac:dyDescent="0.25">
      <c r="A74" s="9">
        <v>0.26</v>
      </c>
      <c r="B74" s="95">
        <v>1.4149976968765259</v>
      </c>
      <c r="C74" s="146">
        <v>1.2612253427505493</v>
      </c>
      <c r="D74" s="146">
        <v>1.0667825937271118</v>
      </c>
      <c r="E74" s="146">
        <v>0.94341671466827393</v>
      </c>
      <c r="F74" s="146">
        <v>0.85525345802307129</v>
      </c>
      <c r="G74" s="146">
        <v>0.78755980730056763</v>
      </c>
      <c r="H74" s="146">
        <v>0.73295801877975464</v>
      </c>
      <c r="I74" s="146">
        <v>0.68726605176925659</v>
      </c>
      <c r="J74" s="146">
        <v>0.64790064096450806</v>
      </c>
      <c r="K74" s="148">
        <v>0.61316049098968506</v>
      </c>
      <c r="X74" s="67">
        <v>1.86033034324646</v>
      </c>
      <c r="Y74" s="67">
        <v>1.5459848642349243</v>
      </c>
      <c r="Z74" s="67">
        <v>1.2326000928878784</v>
      </c>
      <c r="AA74" s="67">
        <v>0.92041653394699097</v>
      </c>
      <c r="AB74" s="67">
        <v>0.60984092950820923</v>
      </c>
      <c r="AD74" s="67">
        <v>1.7141568660736084</v>
      </c>
      <c r="AE74" s="67">
        <v>1.4384207725524902</v>
      </c>
      <c r="AF74" s="67">
        <v>1.2326000928878784</v>
      </c>
      <c r="AG74" s="67">
        <v>1.0761966705322266</v>
      </c>
      <c r="AH74" s="67">
        <v>0.95567357540130615</v>
      </c>
      <c r="AI74" s="67">
        <v>0.86185544729232788</v>
      </c>
    </row>
    <row r="75" spans="1:35" x14ac:dyDescent="0.25">
      <c r="A75" s="9">
        <v>0.3</v>
      </c>
      <c r="B75" s="95">
        <v>1.3091652393341064</v>
      </c>
      <c r="C75" s="146">
        <v>1.1632943153381348</v>
      </c>
      <c r="D75" s="146">
        <v>0.97882342338562012</v>
      </c>
      <c r="E75" s="146">
        <v>0.86152106523513794</v>
      </c>
      <c r="F75" s="146">
        <v>0.77729451656341553</v>
      </c>
      <c r="G75" s="146">
        <v>0.71215730905532837</v>
      </c>
      <c r="H75" s="146">
        <v>0.65910780429840088</v>
      </c>
      <c r="I75" s="146">
        <v>0.61417436599731445</v>
      </c>
      <c r="J75" s="146">
        <v>0.57489871978759766</v>
      </c>
      <c r="K75" s="148">
        <v>0.53965592384338379</v>
      </c>
      <c r="X75" s="68">
        <v>1.5246700048446655</v>
      </c>
      <c r="Y75" s="68">
        <v>1.2745304107666016</v>
      </c>
      <c r="Z75" s="68">
        <v>1.0235269069671631</v>
      </c>
      <c r="AA75" s="68">
        <v>0.77143532037734985</v>
      </c>
      <c r="AB75" s="68">
        <v>0.51787257194519043</v>
      </c>
      <c r="AD75" s="68">
        <v>1.4234023094177246</v>
      </c>
      <c r="AE75" s="68">
        <v>1.1944364309310913</v>
      </c>
      <c r="AF75" s="68">
        <v>1.0235269069671631</v>
      </c>
      <c r="AG75" s="68">
        <v>0.89365261793136597</v>
      </c>
      <c r="AH75" s="68">
        <v>0.79357260465621948</v>
      </c>
      <c r="AI75" s="68">
        <v>0.71566784381866455</v>
      </c>
    </row>
    <row r="76" spans="1:35" x14ac:dyDescent="0.25">
      <c r="A76" s="9">
        <v>0.34</v>
      </c>
      <c r="B76" s="95">
        <v>1.2206497192382812</v>
      </c>
      <c r="C76" s="146">
        <v>1.0813132524490356</v>
      </c>
      <c r="D76" s="146">
        <v>0.90493661165237427</v>
      </c>
      <c r="E76" s="146">
        <v>0.79235541820526123</v>
      </c>
      <c r="F76" s="146">
        <v>0.71097660064697266</v>
      </c>
      <c r="G76" s="146">
        <v>0.64743798971176147</v>
      </c>
      <c r="H76" s="146">
        <v>0.5950472354888916</v>
      </c>
      <c r="I76" s="146">
        <v>0.55000138282775879</v>
      </c>
      <c r="J76" s="146">
        <v>0.50993716716766357</v>
      </c>
      <c r="K76" s="148">
        <v>0.47328218817710876</v>
      </c>
      <c r="X76" s="69">
        <v>1.2953656911849976</v>
      </c>
      <c r="Y76" s="69">
        <v>1.0892456769943237</v>
      </c>
      <c r="Z76" s="69">
        <v>0.88106322288513184</v>
      </c>
      <c r="AA76" s="69">
        <v>0.67026311159133911</v>
      </c>
      <c r="AB76" s="69">
        <v>0.45588994026184082</v>
      </c>
      <c r="AD76" s="69">
        <v>1.2252802848815918</v>
      </c>
      <c r="AE76" s="69">
        <v>1.0281839370727539</v>
      </c>
      <c r="AF76" s="69">
        <v>0.88106322288513184</v>
      </c>
      <c r="AG76" s="69">
        <v>0.76926594972610474</v>
      </c>
      <c r="AH76" s="69">
        <v>0.68311601877212524</v>
      </c>
      <c r="AI76" s="69">
        <v>0.61605477333068848</v>
      </c>
    </row>
    <row r="77" spans="1:35" x14ac:dyDescent="0.25">
      <c r="A77" s="9">
        <v>0.38</v>
      </c>
      <c r="B77" s="95">
        <v>1.1449943780899048</v>
      </c>
      <c r="C77" s="146">
        <v>1.0111526250839233</v>
      </c>
      <c r="D77" s="146">
        <v>0.84142476320266724</v>
      </c>
      <c r="E77" s="146">
        <v>0.73250925540924072</v>
      </c>
      <c r="F77" s="146">
        <v>0.653098464012146</v>
      </c>
      <c r="G77" s="146">
        <v>0.59035927057266235</v>
      </c>
      <c r="H77" s="146">
        <v>0.53785562515258789</v>
      </c>
      <c r="I77" s="146">
        <v>0.49191734194755554</v>
      </c>
      <c r="J77" s="146">
        <v>0.45024925470352173</v>
      </c>
      <c r="K77" s="148">
        <v>0.41130879521369934</v>
      </c>
      <c r="X77" s="69">
        <v>1.1227328777313232</v>
      </c>
      <c r="Y77" s="69">
        <v>0.94966191053390503</v>
      </c>
      <c r="Z77" s="69">
        <v>0.77371746301651001</v>
      </c>
      <c r="AA77" s="69">
        <v>0.59409874677658081</v>
      </c>
      <c r="AB77" s="69">
        <v>0.40941581130027771</v>
      </c>
      <c r="AD77" s="69">
        <v>1.0759962797164917</v>
      </c>
      <c r="AE77" s="69">
        <v>0.90291345119476318</v>
      </c>
      <c r="AF77" s="69">
        <v>0.77371746301651001</v>
      </c>
      <c r="AG77" s="69">
        <v>0.67554116249084473</v>
      </c>
      <c r="AH77" s="69">
        <v>0.5998874306678772</v>
      </c>
      <c r="AI77" s="69">
        <v>0.54099667072296143</v>
      </c>
    </row>
    <row r="78" spans="1:35" x14ac:dyDescent="0.25">
      <c r="A78" s="9">
        <v>0.42</v>
      </c>
      <c r="B78" s="95">
        <v>1.0792088508605957</v>
      </c>
      <c r="C78" s="146">
        <v>0.9500434398651123</v>
      </c>
      <c r="D78" s="146">
        <v>0.78581184148788452</v>
      </c>
      <c r="E78" s="146">
        <v>0.67969983816146851</v>
      </c>
      <c r="F78" s="146">
        <v>0.60151636600494385</v>
      </c>
      <c r="G78" s="146">
        <v>0.53888022899627686</v>
      </c>
      <c r="H78" s="146">
        <v>0.48556619882583618</v>
      </c>
      <c r="I78" s="146">
        <v>0.43800497055053711</v>
      </c>
      <c r="J78" s="146">
        <v>0.39394336938858032</v>
      </c>
      <c r="K78" s="148">
        <v>0.3518451452255249</v>
      </c>
      <c r="X78" s="69">
        <v>0.98430043458938599</v>
      </c>
      <c r="Y78" s="69">
        <v>0.8374895453453064</v>
      </c>
      <c r="Z78" s="69">
        <v>0.68726605176925659</v>
      </c>
      <c r="AA78" s="69">
        <v>0.53264659643173218</v>
      </c>
      <c r="AB78" s="69">
        <v>0.3719087541103363</v>
      </c>
      <c r="AD78" s="69">
        <v>0.95576971769332886</v>
      </c>
      <c r="AE78" s="69">
        <v>0.80202633142471313</v>
      </c>
      <c r="AF78" s="69">
        <v>0.68726605176925659</v>
      </c>
      <c r="AG78" s="69">
        <v>0.60005950927734375</v>
      </c>
      <c r="AH78" s="69">
        <v>0.53285896778106689</v>
      </c>
      <c r="AI78" s="69">
        <v>0.48054838180541992</v>
      </c>
    </row>
    <row r="79" spans="1:35" x14ac:dyDescent="0.25">
      <c r="A79" s="9">
        <v>0.46</v>
      </c>
      <c r="B79" s="149">
        <v>1.021199107170105</v>
      </c>
      <c r="C79" s="150">
        <v>0.89604806900024414</v>
      </c>
      <c r="D79" s="150">
        <v>0.73636674880981445</v>
      </c>
      <c r="E79" s="150">
        <v>0.63233143091201782</v>
      </c>
      <c r="F79" s="150">
        <v>0.5547301173210144</v>
      </c>
      <c r="G79" s="150">
        <v>0.4915679395198822</v>
      </c>
      <c r="H79" s="150">
        <v>0.43679043650627136</v>
      </c>
      <c r="I79" s="150">
        <v>0.38689848780632019</v>
      </c>
      <c r="J79" s="150">
        <v>0.33965420722961426</v>
      </c>
      <c r="K79" s="148">
        <v>0.29350239038467407</v>
      </c>
      <c r="X79" s="69">
        <v>0.86816680431365967</v>
      </c>
      <c r="Y79" s="69">
        <v>0.74304318428039551</v>
      </c>
      <c r="Z79" s="69">
        <v>0.61417436599731445</v>
      </c>
      <c r="AA79" s="69">
        <v>0.48044532537460327</v>
      </c>
      <c r="AB79" s="69">
        <v>0.33988535404205322</v>
      </c>
      <c r="AD79" s="69">
        <v>0.85412222146987915</v>
      </c>
      <c r="AE79" s="69">
        <v>0.71672970056533813</v>
      </c>
      <c r="AF79" s="69">
        <v>0.61417436599731445</v>
      </c>
      <c r="AG79" s="69">
        <v>0.53624236583709717</v>
      </c>
      <c r="AH79" s="69">
        <v>0.47618865966796875</v>
      </c>
      <c r="AI79" s="69">
        <v>0.42944139242172241</v>
      </c>
    </row>
    <row r="80" spans="1:35" x14ac:dyDescent="0.25">
      <c r="A80" s="9">
        <v>0.5</v>
      </c>
      <c r="B80" s="95">
        <v>0.96944701671600342</v>
      </c>
      <c r="C80" s="146">
        <v>0.8477628231048584</v>
      </c>
      <c r="D80" s="146">
        <v>0.69183641672134399</v>
      </c>
      <c r="E80" s="146">
        <v>0.58924859762191772</v>
      </c>
      <c r="F80" s="146">
        <v>0.51165074110031128</v>
      </c>
      <c r="G80" s="146">
        <v>0.44737780094146729</v>
      </c>
      <c r="H80" s="146">
        <v>0.39050781726837158</v>
      </c>
      <c r="I80" s="146">
        <v>0.33758145570755005</v>
      </c>
      <c r="J80" s="146">
        <v>0.28634795546531677</v>
      </c>
      <c r="K80" s="148">
        <v>0.23520447313785553</v>
      </c>
      <c r="X80" s="69">
        <v>0.7673332691192627</v>
      </c>
      <c r="Y80" s="69">
        <v>0.66062355041503906</v>
      </c>
      <c r="Z80" s="69">
        <v>0.55000138282775879</v>
      </c>
      <c r="AA80" s="69">
        <v>0.43426430225372314</v>
      </c>
      <c r="AB80" s="69">
        <v>0.31126758456230164</v>
      </c>
      <c r="AD80" s="69">
        <v>0.76487797498703003</v>
      </c>
      <c r="AE80" s="69">
        <v>0.64184111356735229</v>
      </c>
      <c r="AF80" s="69">
        <v>0.55000138282775879</v>
      </c>
      <c r="AG80" s="69">
        <v>0.48021224141120911</v>
      </c>
      <c r="AH80" s="69">
        <v>0.42643338441848755</v>
      </c>
      <c r="AI80" s="69">
        <v>0.38457053899765015</v>
      </c>
    </row>
    <row r="81" spans="13:35" x14ac:dyDescent="0.25">
      <c r="M81" s="58"/>
      <c r="X81" s="69">
        <v>0.67736244201660156</v>
      </c>
      <c r="Y81" s="69">
        <v>0.58661109209060669</v>
      </c>
      <c r="Z81" s="69">
        <v>0.49191734194755554</v>
      </c>
      <c r="AA81" s="69">
        <v>0.39203107357025146</v>
      </c>
      <c r="AB81" s="69">
        <v>0.28470265865325928</v>
      </c>
      <c r="AD81" s="69">
        <v>0.68410146236419678</v>
      </c>
      <c r="AE81" s="69">
        <v>0.5740581750869751</v>
      </c>
      <c r="AF81" s="69">
        <v>0.49191734194755554</v>
      </c>
      <c r="AG81" s="69">
        <v>0.42949843406677246</v>
      </c>
      <c r="AH81" s="69">
        <v>0.38139897584915161</v>
      </c>
      <c r="AI81" s="69">
        <v>0.34395718574523926</v>
      </c>
    </row>
    <row r="82" spans="13:35" x14ac:dyDescent="0.25">
      <c r="M82" s="58"/>
      <c r="N82" s="58" t="s">
        <v>30</v>
      </c>
      <c r="X82" s="69">
        <v>0.59527379274368286</v>
      </c>
      <c r="Y82" s="69">
        <v>0.51856720447540283</v>
      </c>
      <c r="Z82" s="69">
        <v>0.43800497055053711</v>
      </c>
      <c r="AA82" s="69">
        <v>0.35232657194137573</v>
      </c>
      <c r="AB82" s="69">
        <v>0.25924339890480042</v>
      </c>
      <c r="AD82" s="69">
        <v>0.60912638902664185</v>
      </c>
      <c r="AE82" s="69">
        <v>0.51114344596862793</v>
      </c>
      <c r="AF82" s="69">
        <v>0.43800497055053711</v>
      </c>
      <c r="AG82" s="69">
        <v>0.38242694735527039</v>
      </c>
      <c r="AH82" s="69">
        <v>0.33959901332855225</v>
      </c>
      <c r="AI82" s="69">
        <v>0.30626070499420166</v>
      </c>
    </row>
    <row r="83" spans="13:35" x14ac:dyDescent="0.25">
      <c r="M83" s="58"/>
      <c r="X83" s="69">
        <v>0.51897144317626953</v>
      </c>
      <c r="Y83" s="69">
        <v>0.45476901531219482</v>
      </c>
      <c r="Z83" s="69">
        <v>0.38689848780632019</v>
      </c>
      <c r="AA83" s="69">
        <v>0.31412419676780701</v>
      </c>
      <c r="AB83" s="69">
        <v>0.23418278992176056</v>
      </c>
      <c r="AD83" s="69">
        <v>0.53805339336395264</v>
      </c>
      <c r="AE83" s="69">
        <v>0.45150312781333923</v>
      </c>
      <c r="AF83" s="69">
        <v>0.38689848780632019</v>
      </c>
      <c r="AG83" s="69">
        <v>0.33780530095100403</v>
      </c>
      <c r="AH83" s="69">
        <v>0.29997456073760986</v>
      </c>
      <c r="AI83" s="69">
        <v>0.27052614092826843</v>
      </c>
    </row>
    <row r="84" spans="13:35" x14ac:dyDescent="0.25">
      <c r="M84" s="58"/>
      <c r="X84" s="70">
        <v>0.44692406058311462</v>
      </c>
      <c r="Y84" s="70">
        <v>0.39394927024841309</v>
      </c>
      <c r="Z84" s="70">
        <v>0.33758145570755005</v>
      </c>
      <c r="AA84" s="70">
        <v>0.27664381265640259</v>
      </c>
      <c r="AB84" s="70">
        <v>0.20896127820014954</v>
      </c>
      <c r="AD84" s="69">
        <v>0.46946904063224792</v>
      </c>
      <c r="AE84" s="70">
        <v>0.39395111799240112</v>
      </c>
      <c r="AF84" s="70">
        <v>0.33758145570755005</v>
      </c>
      <c r="AG84" s="70">
        <v>0.29474607110023499</v>
      </c>
      <c r="AH84" s="69">
        <v>0.26173752546310425</v>
      </c>
      <c r="AI84" s="69">
        <v>0.23604282736778259</v>
      </c>
    </row>
    <row r="87" spans="13:35" x14ac:dyDescent="0.25">
      <c r="X87" s="66" t="s">
        <v>108</v>
      </c>
      <c r="Y87" s="21" t="s">
        <v>109</v>
      </c>
      <c r="Z87" s="21"/>
      <c r="AA87" s="13"/>
      <c r="AC87" t="s">
        <v>113</v>
      </c>
      <c r="AD87" s="2" t="s">
        <v>109</v>
      </c>
    </row>
    <row r="88" spans="13:35" x14ac:dyDescent="0.25">
      <c r="X88" s="19">
        <v>17</v>
      </c>
      <c r="Y88" s="20">
        <v>17</v>
      </c>
      <c r="Z88" s="20">
        <v>16</v>
      </c>
      <c r="AA88" s="14">
        <v>16</v>
      </c>
      <c r="AC88" s="2">
        <v>7</v>
      </c>
      <c r="AD88" s="2">
        <v>16</v>
      </c>
      <c r="AE88" s="2">
        <v>16</v>
      </c>
      <c r="AF88" s="2">
        <v>16</v>
      </c>
    </row>
    <row r="89" spans="13:35" x14ac:dyDescent="0.25">
      <c r="X89" s="19">
        <v>33</v>
      </c>
      <c r="Y89" s="20">
        <v>33</v>
      </c>
      <c r="Z89" s="20">
        <v>32</v>
      </c>
      <c r="AA89" s="14">
        <v>33</v>
      </c>
      <c r="AC89" s="2">
        <v>14</v>
      </c>
      <c r="AD89" s="2">
        <v>28</v>
      </c>
      <c r="AE89" s="2">
        <v>28</v>
      </c>
      <c r="AF89" s="2">
        <v>28</v>
      </c>
    </row>
    <row r="90" spans="13:35" x14ac:dyDescent="0.25">
      <c r="X90" s="19">
        <v>50</v>
      </c>
      <c r="Y90" s="20">
        <v>50</v>
      </c>
      <c r="Z90" s="20">
        <v>48</v>
      </c>
      <c r="AA90" s="14">
        <v>49</v>
      </c>
      <c r="AC90" s="2">
        <v>21</v>
      </c>
      <c r="AD90" s="2">
        <v>38</v>
      </c>
      <c r="AE90" s="2">
        <v>37</v>
      </c>
      <c r="AF90" s="2">
        <v>37</v>
      </c>
    </row>
    <row r="91" spans="13:35" x14ac:dyDescent="0.25">
      <c r="X91" s="11">
        <v>67</v>
      </c>
      <c r="Y91" s="12">
        <v>67</v>
      </c>
      <c r="Z91" s="12">
        <v>65</v>
      </c>
      <c r="AA91" s="15">
        <v>66</v>
      </c>
      <c r="AC91" s="2">
        <v>29</v>
      </c>
      <c r="AD91" s="2">
        <v>45</v>
      </c>
      <c r="AE91" s="2">
        <v>44</v>
      </c>
      <c r="AF91" s="2">
        <v>44</v>
      </c>
    </row>
    <row r="92" spans="13:35" x14ac:dyDescent="0.25">
      <c r="AC92" s="2">
        <v>36</v>
      </c>
      <c r="AD92" s="2">
        <v>50</v>
      </c>
      <c r="AE92" s="2">
        <v>50</v>
      </c>
      <c r="AF92" s="2">
        <v>50</v>
      </c>
    </row>
    <row r="100" spans="1:10" ht="18.75" x14ac:dyDescent="0.35">
      <c r="A100" s="10" t="s">
        <v>33</v>
      </c>
    </row>
    <row r="101" spans="1:10" x14ac:dyDescent="0.25">
      <c r="A101" s="4" t="s">
        <v>28</v>
      </c>
      <c r="B101" s="5">
        <v>5</v>
      </c>
      <c r="C101" s="4" t="s">
        <v>29</v>
      </c>
      <c r="D101" s="5">
        <v>0.3</v>
      </c>
    </row>
    <row r="102" spans="1:10" x14ac:dyDescent="0.25">
      <c r="A102" s="18" t="s">
        <v>30</v>
      </c>
      <c r="B102" s="116">
        <v>0.7</v>
      </c>
      <c r="C102" s="110">
        <v>0.73</v>
      </c>
      <c r="D102" s="110">
        <v>0.76</v>
      </c>
      <c r="E102" s="110">
        <v>0.79</v>
      </c>
      <c r="F102" s="110">
        <v>0.82</v>
      </c>
      <c r="G102" s="110">
        <v>0.85</v>
      </c>
      <c r="H102" s="110">
        <v>0.88</v>
      </c>
      <c r="I102" s="110">
        <v>0.91</v>
      </c>
      <c r="J102" s="106">
        <v>0.95</v>
      </c>
    </row>
    <row r="103" spans="1:10" x14ac:dyDescent="0.25">
      <c r="A103" s="17" t="s">
        <v>31</v>
      </c>
      <c r="B103" s="117"/>
      <c r="C103" s="111"/>
      <c r="D103" s="111"/>
      <c r="E103" s="111"/>
      <c r="F103" s="111"/>
      <c r="G103" s="111"/>
      <c r="H103" s="111"/>
      <c r="I103" s="111"/>
      <c r="J103" s="107"/>
    </row>
    <row r="104" spans="1:10" x14ac:dyDescent="0.25">
      <c r="A104" s="16">
        <v>0.1</v>
      </c>
      <c r="B104">
        <v>0.50341755151748657</v>
      </c>
      <c r="C104">
        <v>0.46703007817268372</v>
      </c>
      <c r="D104">
        <v>0.43671143054962158</v>
      </c>
      <c r="E104">
        <v>0.41137748956680298</v>
      </c>
      <c r="F104">
        <v>0.39018866419792175</v>
      </c>
      <c r="G104">
        <v>0.37248909473419189</v>
      </c>
      <c r="H104">
        <v>0.35776281356811523</v>
      </c>
      <c r="I104">
        <v>0.34560176730155945</v>
      </c>
      <c r="J104" s="13">
        <v>0.33282741904258728</v>
      </c>
    </row>
    <row r="105" spans="1:10" x14ac:dyDescent="0.25">
      <c r="A105" s="16">
        <v>0.12</v>
      </c>
      <c r="B105">
        <v>0.61549663543701172</v>
      </c>
      <c r="C105">
        <v>0.56609457731246948</v>
      </c>
      <c r="D105">
        <v>0.52478992938995361</v>
      </c>
      <c r="E105">
        <v>0.49009275436401367</v>
      </c>
      <c r="F105">
        <v>0.4608495831489563</v>
      </c>
      <c r="G105">
        <v>0.43615907430648804</v>
      </c>
      <c r="H105">
        <v>0.41531094908714294</v>
      </c>
      <c r="I105">
        <v>0.39774152636528015</v>
      </c>
      <c r="J105" s="14">
        <v>0.37865161895751953</v>
      </c>
    </row>
    <row r="106" spans="1:10" x14ac:dyDescent="0.25">
      <c r="A106" s="16">
        <v>0.14000000000000001</v>
      </c>
      <c r="B106">
        <v>0.72951549291610718</v>
      </c>
      <c r="C106">
        <v>0.6660771369934082</v>
      </c>
      <c r="D106">
        <v>0.61298209428787231</v>
      </c>
      <c r="E106">
        <v>0.56828641891479492</v>
      </c>
      <c r="F106">
        <v>0.53048723936080933</v>
      </c>
      <c r="G106">
        <v>0.49841070175170898</v>
      </c>
      <c r="H106">
        <v>0.47113195061683655</v>
      </c>
      <c r="I106">
        <v>0.44791623950004578</v>
      </c>
      <c r="J106" s="14">
        <v>0.42228403687477112</v>
      </c>
    </row>
    <row r="107" spans="1:10" x14ac:dyDescent="0.25">
      <c r="A107" s="16">
        <v>0.16</v>
      </c>
      <c r="B107">
        <v>0.84522169828414917</v>
      </c>
      <c r="C107">
        <v>0.76685249805450439</v>
      </c>
      <c r="D107">
        <v>0.70127159357070923</v>
      </c>
      <c r="E107">
        <v>0.64603632688522339</v>
      </c>
      <c r="F107">
        <v>0.59926068782806396</v>
      </c>
      <c r="G107">
        <v>0.55947333574295044</v>
      </c>
      <c r="H107">
        <v>0.52551579475402832</v>
      </c>
      <c r="I107">
        <v>0.4964679479598999</v>
      </c>
      <c r="J107" s="14">
        <v>0.46412393450737</v>
      </c>
    </row>
    <row r="108" spans="1:10" x14ac:dyDescent="0.25">
      <c r="A108" s="16">
        <v>0.18</v>
      </c>
      <c r="B108">
        <v>0.96242368221282959</v>
      </c>
      <c r="C108">
        <v>0.86832612752914429</v>
      </c>
      <c r="D108">
        <v>0.78964638710021973</v>
      </c>
      <c r="E108">
        <v>0.72340035438537598</v>
      </c>
      <c r="F108">
        <v>0.66728734970092773</v>
      </c>
      <c r="G108">
        <v>0.61951512098312378</v>
      </c>
      <c r="H108">
        <v>0.57867354154586792</v>
      </c>
      <c r="I108">
        <v>0.54364383220672607</v>
      </c>
      <c r="J108" s="14">
        <v>0.50445723533630371</v>
      </c>
    </row>
    <row r="109" spans="1:10" x14ac:dyDescent="0.25">
      <c r="A109" s="16">
        <v>0.2</v>
      </c>
      <c r="B109">
        <v>1.0809707641601563</v>
      </c>
      <c r="C109">
        <v>0.9704241156578064</v>
      </c>
      <c r="D109">
        <v>0.87809699773788452</v>
      </c>
      <c r="E109">
        <v>0.80042314529418945</v>
      </c>
      <c r="F109">
        <v>0.73465752601623535</v>
      </c>
      <c r="G109">
        <v>0.67866432666778564</v>
      </c>
      <c r="H109">
        <v>0.63076537847518921</v>
      </c>
      <c r="I109">
        <v>0.58963024616241455</v>
      </c>
      <c r="J109" s="14">
        <v>0.54349780082702637</v>
      </c>
    </row>
    <row r="110" spans="1:10" x14ac:dyDescent="0.25">
      <c r="A110" s="16">
        <v>0.22</v>
      </c>
      <c r="B110">
        <v>1.2007410526275635</v>
      </c>
      <c r="C110">
        <v>1.073087215423584</v>
      </c>
      <c r="D110">
        <v>0.96661579608917236</v>
      </c>
      <c r="E110">
        <v>0.87714022397994995</v>
      </c>
      <c r="F110">
        <v>0.80144238471984863</v>
      </c>
      <c r="G110">
        <v>0.73702186346054077</v>
      </c>
      <c r="H110">
        <v>0.68191647529602051</v>
      </c>
      <c r="I110">
        <v>0.63457226753234863</v>
      </c>
      <c r="J110" s="14">
        <v>0.58141082525253296</v>
      </c>
    </row>
    <row r="111" spans="1:10" x14ac:dyDescent="0.25">
      <c r="A111" s="16">
        <v>0.24</v>
      </c>
      <c r="B111">
        <v>1.3216341733932495</v>
      </c>
      <c r="C111">
        <v>1.1762664318084717</v>
      </c>
      <c r="D111">
        <v>1.0551966428756714</v>
      </c>
      <c r="E111">
        <v>0.95358055830001831</v>
      </c>
      <c r="F111">
        <v>0.86769974231719971</v>
      </c>
      <c r="G111">
        <v>0.79466921091079712</v>
      </c>
      <c r="H111">
        <v>0.73222744464874268</v>
      </c>
      <c r="I111">
        <v>0.67858576774597168</v>
      </c>
      <c r="J111" s="14">
        <v>0.61832743883132935</v>
      </c>
    </row>
    <row r="112" spans="1:10" x14ac:dyDescent="0.25">
      <c r="A112" s="16">
        <v>0.26</v>
      </c>
      <c r="B112">
        <v>1.4435654878616333</v>
      </c>
      <c r="C112">
        <v>1.2799211740493774</v>
      </c>
      <c r="D112">
        <v>1.1438344717025757</v>
      </c>
      <c r="E112">
        <v>1.0297681093215942</v>
      </c>
      <c r="F112">
        <v>0.93347740173339844</v>
      </c>
      <c r="G112">
        <v>0.8516731858253479</v>
      </c>
      <c r="H112">
        <v>0.78178060054779053</v>
      </c>
      <c r="I112">
        <v>0.72176516056060791</v>
      </c>
      <c r="J112" s="14">
        <v>0.65435391664505005</v>
      </c>
    </row>
    <row r="113" spans="1:10" x14ac:dyDescent="0.25">
      <c r="A113" s="16">
        <v>0.28000000000000003</v>
      </c>
      <c r="B113">
        <v>1.5664628744125366</v>
      </c>
      <c r="C113">
        <v>1.3840165138244629</v>
      </c>
      <c r="D113">
        <v>1.2325248718261719</v>
      </c>
      <c r="E113">
        <v>1.1057231426239014</v>
      </c>
      <c r="F113">
        <v>0.99881535768508911</v>
      </c>
      <c r="G113">
        <v>0.90808987617492676</v>
      </c>
      <c r="H113">
        <v>0.83064448833465576</v>
      </c>
      <c r="I113">
        <v>0.76418876647949219</v>
      </c>
      <c r="J113" s="14">
        <v>0.68957799673080444</v>
      </c>
    </row>
    <row r="114" spans="1:10" x14ac:dyDescent="0.25">
      <c r="A114" s="17">
        <v>0.3</v>
      </c>
      <c r="B114" s="11">
        <v>1.6902639865875244</v>
      </c>
      <c r="C114" s="12">
        <v>1.4885227680206299</v>
      </c>
      <c r="D114" s="12">
        <v>1.3212641477584839</v>
      </c>
      <c r="E114" s="12">
        <v>1.1814628839492798</v>
      </c>
      <c r="F114" s="12">
        <v>1.0637476444244385</v>
      </c>
      <c r="G114" s="12">
        <v>0.96396660804748535</v>
      </c>
      <c r="H114" s="12">
        <v>0.87887698411941528</v>
      </c>
      <c r="I114" s="12">
        <v>0.80592250823974609</v>
      </c>
      <c r="J114" s="15">
        <v>0.72407299280166626</v>
      </c>
    </row>
    <row r="134" spans="1:23" ht="18.75" x14ac:dyDescent="0.35">
      <c r="A134" s="10" t="s">
        <v>34</v>
      </c>
      <c r="O134" t="s">
        <v>39</v>
      </c>
      <c r="U134" t="s">
        <v>43</v>
      </c>
    </row>
    <row r="135" spans="1:23" x14ac:dyDescent="0.25">
      <c r="A135" s="4" t="s">
        <v>16</v>
      </c>
      <c r="B135" s="5">
        <v>0.7</v>
      </c>
      <c r="C135" s="4" t="s">
        <v>25</v>
      </c>
      <c r="D135" s="5">
        <v>0.3</v>
      </c>
      <c r="E135" s="4" t="s">
        <v>35</v>
      </c>
      <c r="F135" s="5">
        <v>0.1</v>
      </c>
      <c r="G135" s="4" t="s">
        <v>37</v>
      </c>
      <c r="H135" s="5">
        <v>12.7</v>
      </c>
      <c r="I135" s="5" t="s">
        <v>38</v>
      </c>
      <c r="O135" t="s">
        <v>40</v>
      </c>
      <c r="U135" t="s">
        <v>48</v>
      </c>
      <c r="W135" t="s">
        <v>47</v>
      </c>
    </row>
    <row r="136" spans="1:23" x14ac:dyDescent="0.25">
      <c r="A136" s="7" t="s">
        <v>17</v>
      </c>
      <c r="B136" s="112">
        <v>3</v>
      </c>
      <c r="C136" s="104">
        <v>3.5</v>
      </c>
      <c r="D136" s="104">
        <v>4</v>
      </c>
      <c r="E136" s="104">
        <v>4.5</v>
      </c>
      <c r="F136" s="104">
        <v>5</v>
      </c>
      <c r="G136" s="104">
        <v>5.5</v>
      </c>
      <c r="H136" s="104">
        <v>6</v>
      </c>
      <c r="I136" s="104">
        <v>6.5</v>
      </c>
      <c r="J136" s="104">
        <v>7</v>
      </c>
      <c r="K136" s="108">
        <v>7.5</v>
      </c>
      <c r="O136" t="s">
        <v>41</v>
      </c>
    </row>
    <row r="137" spans="1:23" x14ac:dyDescent="0.25">
      <c r="A137" s="7" t="s">
        <v>18</v>
      </c>
      <c r="B137" s="113"/>
      <c r="C137" s="105"/>
      <c r="D137" s="105"/>
      <c r="E137" s="105"/>
      <c r="F137" s="105"/>
      <c r="G137" s="105"/>
      <c r="H137" s="105"/>
      <c r="I137" s="105"/>
      <c r="J137" s="105"/>
      <c r="K137" s="109"/>
      <c r="O137" t="s">
        <v>42</v>
      </c>
    </row>
    <row r="138" spans="1:23" x14ac:dyDescent="0.25">
      <c r="A138" s="8">
        <v>0.5</v>
      </c>
      <c r="B138">
        <v>1.9491094350814819</v>
      </c>
      <c r="C138">
        <v>1.6290181875228882</v>
      </c>
      <c r="D138">
        <v>1.3943085670471191</v>
      </c>
      <c r="E138">
        <v>1.2125440835952759</v>
      </c>
      <c r="F138">
        <v>1.0644632577896118</v>
      </c>
      <c r="G138">
        <v>0.93805205821990967</v>
      </c>
      <c r="H138">
        <v>0.8254697322845459</v>
      </c>
      <c r="I138">
        <v>0.72137796878814697</v>
      </c>
      <c r="J138">
        <v>0.62199258804321289</v>
      </c>
      <c r="K138" s="13">
        <v>0.52452307939529419</v>
      </c>
    </row>
    <row r="139" spans="1:23" x14ac:dyDescent="0.25">
      <c r="A139" s="9">
        <v>0.48</v>
      </c>
      <c r="B139">
        <v>1.6347148418426514</v>
      </c>
      <c r="C139">
        <v>1.3716189861297607</v>
      </c>
      <c r="D139">
        <v>1.179063081741333</v>
      </c>
      <c r="E139">
        <v>1.0302714109420776</v>
      </c>
      <c r="F139">
        <v>0.90934491157531738</v>
      </c>
      <c r="G139">
        <v>0.80636775493621826</v>
      </c>
      <c r="H139">
        <v>0.71486973762512207</v>
      </c>
      <c r="I139">
        <v>0.63044661283493042</v>
      </c>
      <c r="J139">
        <v>0.54997718334197998</v>
      </c>
      <c r="K139" s="14">
        <v>0.47116085886955261</v>
      </c>
    </row>
    <row r="140" spans="1:23" x14ac:dyDescent="0.25">
      <c r="A140" s="9">
        <v>0.46</v>
      </c>
      <c r="B140">
        <v>1.409308910369873</v>
      </c>
      <c r="C140">
        <v>1.1869724988937378</v>
      </c>
      <c r="D140">
        <v>1.0245559215545654</v>
      </c>
      <c r="E140">
        <v>0.89933347702026367</v>
      </c>
      <c r="F140">
        <v>0.79781210422515869</v>
      </c>
      <c r="G140">
        <v>0.71157729625701904</v>
      </c>
      <c r="H140">
        <v>0.63513922691345215</v>
      </c>
      <c r="I140">
        <v>0.56476187705993652</v>
      </c>
      <c r="J140">
        <v>0.49779853224754333</v>
      </c>
      <c r="K140" s="14">
        <v>0.43229904770851135</v>
      </c>
    </row>
    <row r="141" spans="1:23" x14ac:dyDescent="0.25">
      <c r="A141" s="9">
        <v>0.44</v>
      </c>
      <c r="B141">
        <v>1.279224157333374</v>
      </c>
      <c r="C141">
        <v>1.0813547372817993</v>
      </c>
      <c r="D141">
        <v>0.93708807229995728</v>
      </c>
      <c r="E141">
        <v>0.8261110782623291</v>
      </c>
      <c r="F141">
        <v>0.73636412620544434</v>
      </c>
      <c r="G141">
        <v>0.66032731533050537</v>
      </c>
      <c r="H141">
        <v>0.59309536218643188</v>
      </c>
      <c r="I141">
        <v>0.53133088350296021</v>
      </c>
      <c r="J141">
        <v>0.47266992926597595</v>
      </c>
      <c r="K141" s="14">
        <v>0.41537180542945862</v>
      </c>
    </row>
    <row r="142" spans="1:23" x14ac:dyDescent="0.25">
      <c r="A142" s="9">
        <v>0.42</v>
      </c>
      <c r="B142">
        <v>1.2513511180877686</v>
      </c>
      <c r="C142">
        <v>1.0615361928939819</v>
      </c>
      <c r="D142">
        <v>0.92340981960296631</v>
      </c>
      <c r="E142">
        <v>0.81740063428878784</v>
      </c>
      <c r="F142">
        <v>0.73189002275466919</v>
      </c>
      <c r="G142">
        <v>0.65963393449783325</v>
      </c>
      <c r="H142">
        <v>0.59590768814086914</v>
      </c>
      <c r="I142">
        <v>0.53749758005142212</v>
      </c>
      <c r="J142">
        <v>0.48212796449661255</v>
      </c>
      <c r="K142" s="14">
        <v>0.42812371253967285</v>
      </c>
    </row>
    <row r="143" spans="1:23" x14ac:dyDescent="0.25">
      <c r="A143" s="9">
        <v>0.4</v>
      </c>
      <c r="B143">
        <v>1.3332470655441284</v>
      </c>
      <c r="C143">
        <v>1.1348800659179687</v>
      </c>
      <c r="D143">
        <v>0.99081271886825562</v>
      </c>
      <c r="E143">
        <v>0.88050216436386108</v>
      </c>
      <c r="F143">
        <v>0.79175370931625366</v>
      </c>
      <c r="G143">
        <v>0.7169649600982666</v>
      </c>
      <c r="H143">
        <v>0.65117835998535156</v>
      </c>
      <c r="I143">
        <v>0.59102249145507813</v>
      </c>
      <c r="J143">
        <v>0.53411078453063965</v>
      </c>
      <c r="K143" s="14">
        <v>0.47868719696998596</v>
      </c>
    </row>
    <row r="144" spans="1:23" x14ac:dyDescent="0.25">
      <c r="A144" s="9">
        <v>0.38</v>
      </c>
      <c r="B144">
        <v>1.5332696437835693</v>
      </c>
      <c r="C144">
        <v>1.3094643354415894</v>
      </c>
      <c r="D144">
        <v>1.1472433805465698</v>
      </c>
      <c r="E144">
        <v>1.0233272314071655</v>
      </c>
      <c r="F144">
        <v>0.92389750480651855</v>
      </c>
      <c r="G144">
        <v>0.84034073352813721</v>
      </c>
      <c r="H144">
        <v>0.76704078912734985</v>
      </c>
      <c r="I144">
        <v>0.70017904043197632</v>
      </c>
      <c r="J144">
        <v>0.63705348968505859</v>
      </c>
      <c r="K144" s="14">
        <v>0.57567650079727173</v>
      </c>
    </row>
    <row r="145" spans="1:11" x14ac:dyDescent="0.25">
      <c r="A145" s="9">
        <v>0.36</v>
      </c>
      <c r="B145">
        <v>1.860742449760437</v>
      </c>
      <c r="C145">
        <v>1.5942318439483643</v>
      </c>
      <c r="D145">
        <v>1.4014431238174438</v>
      </c>
      <c r="E145">
        <v>1.2545315027236938</v>
      </c>
      <c r="F145">
        <v>1.1369702816009521</v>
      </c>
      <c r="G145">
        <v>1.0384585857391357</v>
      </c>
      <c r="H145">
        <v>0.95228099822998047</v>
      </c>
      <c r="I145">
        <v>0.87387293577194214</v>
      </c>
      <c r="J145">
        <v>0.80000513792037964</v>
      </c>
      <c r="K145" s="14">
        <v>0.72830337285995483</v>
      </c>
    </row>
    <row r="146" spans="1:11" x14ac:dyDescent="0.25">
      <c r="A146" s="9">
        <v>0.34</v>
      </c>
      <c r="B146">
        <v>2.3261611461639404</v>
      </c>
      <c r="C146">
        <v>1.9991787672042847</v>
      </c>
      <c r="D146">
        <v>1.7631239891052246</v>
      </c>
      <c r="E146">
        <v>1.5836820602416992</v>
      </c>
      <c r="F146">
        <v>1.4404871463775635</v>
      </c>
      <c r="G146">
        <v>1.3208469152450562</v>
      </c>
      <c r="H146">
        <v>1.2164887189865112</v>
      </c>
      <c r="I146">
        <v>1.1217899322509766</v>
      </c>
      <c r="J146">
        <v>1.0327745676040649</v>
      </c>
      <c r="K146" s="14">
        <v>0.94652050733566284</v>
      </c>
    </row>
    <row r="147" spans="1:11" x14ac:dyDescent="0.25">
      <c r="A147" s="9">
        <v>0.32</v>
      </c>
      <c r="B147" s="11">
        <v>2.9414575099945068</v>
      </c>
      <c r="C147" s="12">
        <v>2.5355930328369141</v>
      </c>
      <c r="D147" s="12">
        <v>2.2431905269622803</v>
      </c>
      <c r="E147" s="12">
        <v>2.0214667320251465</v>
      </c>
      <c r="F147" s="12">
        <v>1.8450312614440918</v>
      </c>
      <c r="G147" s="12">
        <v>1.6980620622634888</v>
      </c>
      <c r="H147" s="12">
        <v>1.5702481269836426</v>
      </c>
      <c r="I147" s="12">
        <v>1.4545831680297852</v>
      </c>
      <c r="J147" s="12">
        <v>1.3461141586303711</v>
      </c>
      <c r="K147" s="15">
        <v>1.2412024736404419</v>
      </c>
    </row>
    <row r="168" spans="1:17" x14ac:dyDescent="0.25">
      <c r="A168" s="4" t="s">
        <v>16</v>
      </c>
      <c r="B168" s="5">
        <v>0.7</v>
      </c>
      <c r="C168" s="4" t="s">
        <v>25</v>
      </c>
      <c r="D168" s="5">
        <v>0.2</v>
      </c>
      <c r="E168" s="4" t="s">
        <v>35</v>
      </c>
      <c r="F168" s="5">
        <v>0.15</v>
      </c>
      <c r="G168" s="4" t="s">
        <v>37</v>
      </c>
      <c r="H168" s="5">
        <v>12.7</v>
      </c>
      <c r="I168" s="5" t="s">
        <v>38</v>
      </c>
      <c r="O168" t="s">
        <v>44</v>
      </c>
    </row>
    <row r="169" spans="1:17" x14ac:dyDescent="0.25">
      <c r="A169" s="7" t="s">
        <v>17</v>
      </c>
      <c r="B169" s="112">
        <v>2</v>
      </c>
      <c r="C169" s="104">
        <v>2.2000000000000002</v>
      </c>
      <c r="D169" s="104">
        <v>2.4</v>
      </c>
      <c r="E169" s="104">
        <v>2.6</v>
      </c>
      <c r="F169" s="104">
        <v>2.8</v>
      </c>
      <c r="G169" s="104">
        <v>3</v>
      </c>
      <c r="H169" s="104">
        <v>3.2</v>
      </c>
      <c r="I169" s="104">
        <v>3.4</v>
      </c>
      <c r="J169" s="104">
        <v>3.6</v>
      </c>
      <c r="K169" s="104">
        <v>3.8</v>
      </c>
      <c r="L169" s="106">
        <v>4</v>
      </c>
      <c r="O169" t="s">
        <v>46</v>
      </c>
      <c r="Q169" t="s">
        <v>47</v>
      </c>
    </row>
    <row r="170" spans="1:17" x14ac:dyDescent="0.25">
      <c r="A170" s="7" t="s">
        <v>18</v>
      </c>
      <c r="B170" s="113"/>
      <c r="C170" s="105"/>
      <c r="D170" s="105"/>
      <c r="E170" s="105"/>
      <c r="F170" s="105"/>
      <c r="G170" s="105"/>
      <c r="H170" s="105"/>
      <c r="I170" s="105"/>
      <c r="J170" s="105"/>
      <c r="K170" s="105"/>
      <c r="L170" s="107"/>
      <c r="O170" t="s">
        <v>45</v>
      </c>
    </row>
    <row r="171" spans="1:17" x14ac:dyDescent="0.25">
      <c r="A171" s="8">
        <v>0.25</v>
      </c>
      <c r="B171">
        <v>2.5153229236602783</v>
      </c>
      <c r="C171">
        <v>2.3643090724945068</v>
      </c>
      <c r="D171">
        <v>2.2409687042236328</v>
      </c>
      <c r="E171">
        <v>2.1393172740936279</v>
      </c>
      <c r="F171">
        <v>2.0547747611999512</v>
      </c>
      <c r="G171">
        <v>1.9838194847106934</v>
      </c>
      <c r="H171">
        <v>1.9237236976623535</v>
      </c>
      <c r="I171">
        <v>1.8723562955856323</v>
      </c>
      <c r="J171">
        <v>1.8280373811721802</v>
      </c>
      <c r="K171" s="21">
        <v>1.7894296646118164</v>
      </c>
      <c r="L171" s="13">
        <v>1.7554582357406616</v>
      </c>
    </row>
    <row r="172" spans="1:17" x14ac:dyDescent="0.25">
      <c r="A172" s="9">
        <v>0.245</v>
      </c>
      <c r="B172">
        <v>2.6488981246948242</v>
      </c>
      <c r="C172">
        <v>2.4906661510467529</v>
      </c>
      <c r="D172">
        <v>2.3614778518676758</v>
      </c>
      <c r="E172">
        <v>2.2550535202026367</v>
      </c>
      <c r="F172">
        <v>2.1665873527526855</v>
      </c>
      <c r="G172">
        <v>2.0923843383789062</v>
      </c>
      <c r="H172">
        <v>2.0295825004577637</v>
      </c>
      <c r="I172">
        <v>1.9759455919265747</v>
      </c>
      <c r="J172">
        <v>1.9297107458114624</v>
      </c>
      <c r="K172" s="20">
        <v>1.8894753456115723</v>
      </c>
      <c r="L172" s="14">
        <v>1.8541116714477539</v>
      </c>
    </row>
    <row r="173" spans="1:17" x14ac:dyDescent="0.25">
      <c r="A173" s="9">
        <v>0.24</v>
      </c>
      <c r="B173">
        <v>2.7880082130432129</v>
      </c>
      <c r="C173">
        <v>2.6223042011260986</v>
      </c>
      <c r="D173">
        <v>2.4870645999908447</v>
      </c>
      <c r="E173">
        <v>2.3757045269012451</v>
      </c>
      <c r="F173">
        <v>2.283184289932251</v>
      </c>
      <c r="G173">
        <v>2.2056283950805664</v>
      </c>
      <c r="H173">
        <v>2.1400351524353027</v>
      </c>
      <c r="I173">
        <v>2.0840601921081543</v>
      </c>
      <c r="J173">
        <v>2.0358550548553467</v>
      </c>
      <c r="K173" s="20">
        <v>1.9939481019973755</v>
      </c>
      <c r="L173" s="14">
        <v>1.9571572542190552</v>
      </c>
    </row>
    <row r="174" spans="1:17" x14ac:dyDescent="0.25">
      <c r="A174" s="9">
        <v>0.23499999999999999</v>
      </c>
      <c r="B174">
        <v>2.9328114986419678</v>
      </c>
      <c r="C174">
        <v>2.7593755722045898</v>
      </c>
      <c r="D174">
        <v>2.6178784370422363</v>
      </c>
      <c r="E174">
        <v>2.5014169216156006</v>
      </c>
      <c r="F174">
        <v>2.4047088623046875</v>
      </c>
      <c r="G174">
        <v>2.323692798614502</v>
      </c>
      <c r="H174">
        <v>2.2552225589752197</v>
      </c>
      <c r="I174">
        <v>2.1968405246734619</v>
      </c>
      <c r="J174">
        <v>2.1466093063354492</v>
      </c>
      <c r="K174" s="20">
        <v>2.1029868125915527</v>
      </c>
      <c r="L174" s="14">
        <v>2.0647344589233398</v>
      </c>
    </row>
    <row r="175" spans="1:17" x14ac:dyDescent="0.25">
      <c r="A175" s="9">
        <v>0.23</v>
      </c>
      <c r="B175">
        <v>3.0834739208221436</v>
      </c>
      <c r="C175">
        <v>2.9020419120788574</v>
      </c>
      <c r="D175">
        <v>2.7540750503540039</v>
      </c>
      <c r="E175">
        <v>2.6323432922363281</v>
      </c>
      <c r="F175">
        <v>2.5313122272491455</v>
      </c>
      <c r="G175">
        <v>2.4467270374298096</v>
      </c>
      <c r="H175">
        <v>2.3752920627593994</v>
      </c>
      <c r="I175">
        <v>2.3144328594207764</v>
      </c>
      <c r="J175">
        <v>2.2621200084686279</v>
      </c>
      <c r="K175" s="20">
        <v>2.216738224029541</v>
      </c>
      <c r="L175" s="14">
        <v>2.1769895553588867</v>
      </c>
    </row>
    <row r="176" spans="1:17" x14ac:dyDescent="0.25">
      <c r="A176" s="9">
        <v>0.22500000000000001</v>
      </c>
      <c r="B176">
        <v>3.2401723861694336</v>
      </c>
      <c r="C176">
        <v>3.0504722595214844</v>
      </c>
      <c r="D176">
        <v>2.8958206176757813</v>
      </c>
      <c r="E176">
        <v>2.7686457633972168</v>
      </c>
      <c r="F176">
        <v>2.6631531715393066</v>
      </c>
      <c r="G176">
        <v>2.5748879909515381</v>
      </c>
      <c r="H176">
        <v>2.5003995895385742</v>
      </c>
      <c r="I176">
        <v>2.4369924068450928</v>
      </c>
      <c r="J176">
        <v>2.3825414180755615</v>
      </c>
      <c r="K176" s="20">
        <v>2.3353555202484131</v>
      </c>
      <c r="L176" s="14">
        <v>2.2940764427185059</v>
      </c>
    </row>
    <row r="177" spans="1:12" x14ac:dyDescent="0.25">
      <c r="A177" s="9">
        <v>0.22</v>
      </c>
      <c r="B177">
        <v>3.4030914306640625</v>
      </c>
      <c r="C177">
        <v>3.2048468589782715</v>
      </c>
      <c r="D177">
        <v>3.0432891845703125</v>
      </c>
      <c r="E177">
        <v>2.9104945659637451</v>
      </c>
      <c r="F177">
        <v>2.8003995418548584</v>
      </c>
      <c r="G177">
        <v>2.7083415985107422</v>
      </c>
      <c r="H177">
        <v>2.630709171295166</v>
      </c>
      <c r="I177">
        <v>2.5646815299987793</v>
      </c>
      <c r="J177">
        <v>2.5080356597900391</v>
      </c>
      <c r="K177" s="20">
        <v>2.4590013027191162</v>
      </c>
      <c r="L177" s="14">
        <v>2.4161562919616699</v>
      </c>
    </row>
    <row r="178" spans="1:12" x14ac:dyDescent="0.25">
      <c r="A178" s="9">
        <v>0.215</v>
      </c>
      <c r="B178">
        <v>3.5724287033081055</v>
      </c>
      <c r="C178">
        <v>3.3653547763824463</v>
      </c>
      <c r="D178">
        <v>3.1966652870178223</v>
      </c>
      <c r="E178">
        <v>3.0580708980560303</v>
      </c>
      <c r="F178">
        <v>2.9432289600372314</v>
      </c>
      <c r="G178">
        <v>2.8472621440887451</v>
      </c>
      <c r="H178">
        <v>2.7663938999176025</v>
      </c>
      <c r="I178">
        <v>2.6976730823516846</v>
      </c>
      <c r="J178">
        <v>2.6387736797332764</v>
      </c>
      <c r="K178" s="20">
        <v>2.5878453254699707</v>
      </c>
      <c r="L178" s="14">
        <v>2.543400764465332</v>
      </c>
    </row>
    <row r="179" spans="1:12" x14ac:dyDescent="0.25">
      <c r="A179" s="9">
        <v>0.21</v>
      </c>
      <c r="B179">
        <v>3.7483921051025391</v>
      </c>
      <c r="C179">
        <v>3.5321979522705078</v>
      </c>
      <c r="D179">
        <v>3.3561439514160156</v>
      </c>
      <c r="E179">
        <v>3.2115647792816162</v>
      </c>
      <c r="F179">
        <v>3.0918281078338623</v>
      </c>
      <c r="G179">
        <v>2.991835355758667</v>
      </c>
      <c r="H179">
        <v>2.9076366424560547</v>
      </c>
      <c r="I179">
        <v>2.8361477851867676</v>
      </c>
      <c r="J179">
        <v>2.7749369144439697</v>
      </c>
      <c r="K179" s="20">
        <v>2.7220687866210937</v>
      </c>
      <c r="L179" s="14">
        <v>2.6759889125823975</v>
      </c>
    </row>
    <row r="180" spans="1:12" x14ac:dyDescent="0.25">
      <c r="A180" s="9">
        <v>0.20499999999999999</v>
      </c>
      <c r="B180" s="19">
        <v>3.9312038421630859</v>
      </c>
      <c r="C180" s="20">
        <v>3.7055888175964355</v>
      </c>
      <c r="D180" s="20">
        <v>3.5219330787658691</v>
      </c>
      <c r="E180" s="20">
        <v>3.3711791038513184</v>
      </c>
      <c r="F180" s="20">
        <v>3.246396541595459</v>
      </c>
      <c r="G180" s="20">
        <v>3.1422562599182129</v>
      </c>
      <c r="H180" s="20">
        <v>3.0546317100524902</v>
      </c>
      <c r="I180" s="20">
        <v>2.9802985191345215</v>
      </c>
      <c r="J180" s="20">
        <v>2.9167160987854004</v>
      </c>
      <c r="K180" s="20">
        <v>2.8618619441986084</v>
      </c>
      <c r="L180" s="14">
        <v>2.8141119480133057</v>
      </c>
    </row>
    <row r="181" spans="1:12" x14ac:dyDescent="0.25">
      <c r="A181" s="9">
        <v>0.2</v>
      </c>
      <c r="B181">
        <v>4.1210980415344238</v>
      </c>
      <c r="C181">
        <v>3.8857545852661133</v>
      </c>
      <c r="D181">
        <v>3.6942517757415771</v>
      </c>
      <c r="E181">
        <v>3.537128210067749</v>
      </c>
      <c r="F181">
        <v>3.4071440696716309</v>
      </c>
      <c r="G181">
        <v>3.2987332344055176</v>
      </c>
      <c r="H181">
        <v>3.2075839042663574</v>
      </c>
      <c r="I181">
        <v>3.130328893661499</v>
      </c>
      <c r="J181">
        <v>3.0643143653869629</v>
      </c>
      <c r="K181">
        <v>3.0074272155761719</v>
      </c>
      <c r="L181" s="14">
        <v>2.9579710960388184</v>
      </c>
    </row>
    <row r="182" spans="1:12" x14ac:dyDescent="0.25">
      <c r="A182" s="9">
        <v>0.19500000000000001</v>
      </c>
      <c r="B182">
        <v>4.3183255195617676</v>
      </c>
      <c r="C182">
        <v>4.0729360580444336</v>
      </c>
      <c r="D182">
        <v>3.8733344078063965</v>
      </c>
      <c r="E182">
        <v>3.7096407413482666</v>
      </c>
      <c r="F182">
        <v>3.5742957592010498</v>
      </c>
      <c r="G182">
        <v>3.4614863395690918</v>
      </c>
      <c r="H182">
        <v>3.3667120933532715</v>
      </c>
      <c r="I182">
        <v>3.2864556312561035</v>
      </c>
      <c r="J182">
        <v>3.2179462909698486</v>
      </c>
      <c r="K182">
        <v>3.1589784622192383</v>
      </c>
      <c r="L182" s="14">
        <v>3.1077806949615479</v>
      </c>
    </row>
    <row r="183" spans="1:12" x14ac:dyDescent="0.25">
      <c r="A183" s="9">
        <v>0.19</v>
      </c>
      <c r="B183" s="42">
        <v>4.5231528282165527</v>
      </c>
      <c r="C183">
        <v>4.2673907279968262</v>
      </c>
      <c r="D183">
        <v>4.0594301223754883</v>
      </c>
      <c r="E183">
        <v>3.8889596462249756</v>
      </c>
      <c r="F183">
        <v>3.748089075088501</v>
      </c>
      <c r="G183">
        <v>3.6307511329650879</v>
      </c>
      <c r="H183">
        <v>3.5322475433349609</v>
      </c>
      <c r="I183">
        <v>3.4489083290100098</v>
      </c>
      <c r="J183">
        <v>3.3778412342071533</v>
      </c>
      <c r="K183">
        <v>3.3167440891265869</v>
      </c>
      <c r="L183" s="14">
        <v>3.2637677192687988</v>
      </c>
    </row>
    <row r="184" spans="1:12" x14ac:dyDescent="0.25">
      <c r="A184" s="22"/>
      <c r="L184" s="20"/>
    </row>
    <row r="185" spans="1:12" x14ac:dyDescent="0.25">
      <c r="A185" s="22"/>
      <c r="L185" s="20"/>
    </row>
    <row r="186" spans="1:12" x14ac:dyDescent="0.25">
      <c r="A186" s="22"/>
      <c r="L186" s="20"/>
    </row>
    <row r="187" spans="1:12" x14ac:dyDescent="0.25">
      <c r="A187" s="22"/>
      <c r="L187" s="20"/>
    </row>
    <row r="188" spans="1:12" x14ac:dyDescent="0.25">
      <c r="A188" s="22"/>
      <c r="L188" s="20"/>
    </row>
    <row r="189" spans="1:12" x14ac:dyDescent="0.25">
      <c r="A189" s="22"/>
      <c r="L189" s="20"/>
    </row>
    <row r="190" spans="1:12" x14ac:dyDescent="0.25">
      <c r="A190" s="22"/>
      <c r="L190" s="20"/>
    </row>
    <row r="191" spans="1:12" x14ac:dyDescent="0.25">
      <c r="A191" s="22"/>
      <c r="L191" s="20"/>
    </row>
    <row r="192" spans="1:12" x14ac:dyDescent="0.25">
      <c r="A192" s="22"/>
      <c r="L192" s="20"/>
    </row>
    <row r="193" spans="1:12" x14ac:dyDescent="0.25">
      <c r="A193" s="22"/>
      <c r="L193" s="20"/>
    </row>
    <row r="194" spans="1:12" x14ac:dyDescent="0.25">
      <c r="A194" s="22"/>
      <c r="L194" s="20"/>
    </row>
    <row r="195" spans="1:12" x14ac:dyDescent="0.25">
      <c r="A195" s="22"/>
      <c r="L195" s="20"/>
    </row>
    <row r="196" spans="1:12" x14ac:dyDescent="0.25">
      <c r="A196" s="22"/>
      <c r="L196" s="20"/>
    </row>
    <row r="197" spans="1:12" x14ac:dyDescent="0.25">
      <c r="A197" s="22"/>
      <c r="L197" s="20"/>
    </row>
    <row r="198" spans="1:12" x14ac:dyDescent="0.25">
      <c r="A198" s="22"/>
      <c r="L198" s="20"/>
    </row>
    <row r="199" spans="1:12" x14ac:dyDescent="0.25">
      <c r="A199" s="22"/>
      <c r="B199" s="20"/>
      <c r="C199" s="20"/>
      <c r="D199" s="20"/>
      <c r="E199" s="20"/>
      <c r="F199" s="20"/>
      <c r="G199" s="20"/>
      <c r="H199" s="20"/>
      <c r="I199" s="20"/>
      <c r="J199" s="20"/>
      <c r="K199" s="20"/>
      <c r="L199" s="20"/>
    </row>
  </sheetData>
  <mergeCells count="41">
    <mergeCell ref="AD72:AH72"/>
    <mergeCell ref="G102:G103"/>
    <mergeCell ref="B68:B69"/>
    <mergeCell ref="C68:C69"/>
    <mergeCell ref="D68:D69"/>
    <mergeCell ref="E68:E69"/>
    <mergeCell ref="F68:F69"/>
    <mergeCell ref="G68:G69"/>
    <mergeCell ref="B102:B103"/>
    <mergeCell ref="C102:C103"/>
    <mergeCell ref="D102:D103"/>
    <mergeCell ref="E102:E103"/>
    <mergeCell ref="F102:F103"/>
    <mergeCell ref="H136:H137"/>
    <mergeCell ref="H68:H69"/>
    <mergeCell ref="I68:I69"/>
    <mergeCell ref="J68:J69"/>
    <mergeCell ref="K68:K69"/>
    <mergeCell ref="H169:H170"/>
    <mergeCell ref="H102:H103"/>
    <mergeCell ref="I102:I103"/>
    <mergeCell ref="J102:J103"/>
    <mergeCell ref="B136:B137"/>
    <mergeCell ref="C136:C137"/>
    <mergeCell ref="D136:D137"/>
    <mergeCell ref="E136:E137"/>
    <mergeCell ref="F136:F137"/>
    <mergeCell ref="G136:G137"/>
    <mergeCell ref="B169:B170"/>
    <mergeCell ref="C169:C170"/>
    <mergeCell ref="D169:D170"/>
    <mergeCell ref="E169:E170"/>
    <mergeCell ref="F169:F170"/>
    <mergeCell ref="G169:G170"/>
    <mergeCell ref="I169:I170"/>
    <mergeCell ref="J169:J170"/>
    <mergeCell ref="K169:K170"/>
    <mergeCell ref="L169:L170"/>
    <mergeCell ref="I136:I137"/>
    <mergeCell ref="J136:J137"/>
    <mergeCell ref="K136:K137"/>
  </mergeCells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32" r:id="rId4" name="Button 208">
              <controlPr defaultSize="0" print="0" autoFill="0" autoPict="0" macro="[0]!ThisWorkbook.lambDelConstKsiEtaSurf">
                <anchor moveWithCells="1" sizeWithCells="1">
                  <from>
                    <xdr:col>11</xdr:col>
                    <xdr:colOff>400050</xdr:colOff>
                    <xdr:row>67</xdr:row>
                    <xdr:rowOff>0</xdr:rowOff>
                  </from>
                  <to>
                    <xdr:col>13</xdr:col>
                    <xdr:colOff>295275</xdr:colOff>
                    <xdr:row>70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65" r:id="rId5" name="Button 641">
              <controlPr defaultSize="0" print="0" autoFill="0" autoPict="0" macro="[0]!ThisWorkbook.ksiEtaConstLambDelSurf">
                <anchor moveWithCells="1" sizeWithCells="1">
                  <from>
                    <xdr:col>11</xdr:col>
                    <xdr:colOff>381000</xdr:colOff>
                    <xdr:row>100</xdr:row>
                    <xdr:rowOff>161925</xdr:rowOff>
                  </from>
                  <to>
                    <xdr:col>13</xdr:col>
                    <xdr:colOff>276225</xdr:colOff>
                    <xdr:row>103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6" name="Button 820">
              <controlPr defaultSize="0" print="0" autoFill="0" autoPict="0" macro="[0]!ThisWorkbook.lambDelConstKsiEtaBuried">
                <anchor moveWithCells="1" sizeWithCells="1">
                  <from>
                    <xdr:col>11</xdr:col>
                    <xdr:colOff>381000</xdr:colOff>
                    <xdr:row>135</xdr:row>
                    <xdr:rowOff>0</xdr:rowOff>
                  </from>
                  <to>
                    <xdr:col>13</xdr:col>
                    <xdr:colOff>276225</xdr:colOff>
                    <xdr:row>138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T92"/>
  <sheetViews>
    <sheetView showGridLines="0" workbookViewId="0">
      <pane ySplit="11" topLeftCell="A18" activePane="bottomLeft" state="frozen"/>
      <selection pane="bottomLeft" activeCell="S33" sqref="S33"/>
    </sheetView>
  </sheetViews>
  <sheetFormatPr defaultRowHeight="15" x14ac:dyDescent="0.25"/>
  <sheetData>
    <row r="1" spans="1:20" x14ac:dyDescent="0.25">
      <c r="A1" s="1" t="s">
        <v>49</v>
      </c>
    </row>
    <row r="4" spans="1:20" x14ac:dyDescent="0.25">
      <c r="A4" s="116"/>
      <c r="B4" s="119" t="s">
        <v>31</v>
      </c>
      <c r="C4" s="120"/>
      <c r="D4" s="121"/>
      <c r="E4" s="119" t="s">
        <v>18</v>
      </c>
      <c r="F4" s="120"/>
      <c r="G4" s="121"/>
      <c r="H4" s="119" t="s">
        <v>30</v>
      </c>
      <c r="I4" s="120"/>
      <c r="J4" s="121"/>
      <c r="K4" s="119" t="s">
        <v>17</v>
      </c>
      <c r="L4" s="120"/>
      <c r="M4" s="121"/>
    </row>
    <row r="5" spans="1:20" x14ac:dyDescent="0.25">
      <c r="A5" s="118"/>
      <c r="B5" s="25" t="s">
        <v>50</v>
      </c>
      <c r="C5" s="23" t="s">
        <v>52</v>
      </c>
      <c r="D5" s="23" t="s">
        <v>53</v>
      </c>
      <c r="E5" s="27" t="s">
        <v>50</v>
      </c>
      <c r="F5" s="23" t="s">
        <v>52</v>
      </c>
      <c r="G5" s="28" t="s">
        <v>53</v>
      </c>
      <c r="H5" s="23" t="s">
        <v>50</v>
      </c>
      <c r="I5" s="23" t="s">
        <v>52</v>
      </c>
      <c r="J5" s="23" t="s">
        <v>53</v>
      </c>
      <c r="K5" s="27" t="s">
        <v>50</v>
      </c>
      <c r="L5" s="23" t="s">
        <v>52</v>
      </c>
      <c r="M5" s="30" t="s">
        <v>53</v>
      </c>
    </row>
    <row r="6" spans="1:20" x14ac:dyDescent="0.25">
      <c r="A6" s="117"/>
      <c r="B6" s="26">
        <v>0.1</v>
      </c>
      <c r="C6" s="24">
        <v>0.2</v>
      </c>
      <c r="D6" s="24">
        <v>0.3</v>
      </c>
      <c r="E6" s="26">
        <v>0.1</v>
      </c>
      <c r="F6" s="24">
        <v>0.25</v>
      </c>
      <c r="G6" s="29">
        <v>0.5</v>
      </c>
      <c r="H6" s="24">
        <v>0.7</v>
      </c>
      <c r="I6" s="24">
        <v>0.82499999999999996</v>
      </c>
      <c r="J6" s="24">
        <v>0.95</v>
      </c>
      <c r="K6" s="26">
        <v>1</v>
      </c>
      <c r="L6" s="24">
        <v>5.5</v>
      </c>
      <c r="M6" s="29">
        <v>10</v>
      </c>
      <c r="R6">
        <v>-1</v>
      </c>
      <c r="S6">
        <v>0</v>
      </c>
      <c r="T6">
        <v>1</v>
      </c>
    </row>
    <row r="7" spans="1:20" x14ac:dyDescent="0.25">
      <c r="A7" s="34" t="s">
        <v>54</v>
      </c>
      <c r="B7" s="32">
        <v>0.56822151607937288</v>
      </c>
      <c r="C7" s="33">
        <v>1.1411389978947464</v>
      </c>
      <c r="D7" s="34">
        <v>1.7294262305453971</v>
      </c>
      <c r="E7" s="33">
        <v>1.745395072080471</v>
      </c>
      <c r="F7" s="33">
        <v>1.0650588914200112</v>
      </c>
      <c r="G7" s="34">
        <v>0.62833278101903423</v>
      </c>
      <c r="H7" s="33">
        <v>1.6037182057345356</v>
      </c>
      <c r="I7" s="33">
        <v>1.0545693122678332</v>
      </c>
      <c r="J7" s="34">
        <v>0.78049922651714754</v>
      </c>
      <c r="K7" s="33">
        <v>1.8490582881150421</v>
      </c>
      <c r="L7" s="33">
        <v>0.92038942266393586</v>
      </c>
      <c r="M7" s="34">
        <v>0.66933903374053816</v>
      </c>
      <c r="R7">
        <f>B7</f>
        <v>0.56822151607937288</v>
      </c>
      <c r="S7">
        <f>C7</f>
        <v>1.1411389978947464</v>
      </c>
      <c r="T7">
        <f>D7</f>
        <v>1.7294262305453971</v>
      </c>
    </row>
    <row r="8" spans="1:20" x14ac:dyDescent="0.25">
      <c r="A8" s="15" t="s">
        <v>55</v>
      </c>
      <c r="B8" s="32">
        <v>0.32631984353065491</v>
      </c>
      <c r="C8" s="33">
        <v>0.78093487024307251</v>
      </c>
      <c r="D8" s="34">
        <v>1.3024405241012573</v>
      </c>
      <c r="E8" s="33">
        <v>1.227972149848938</v>
      </c>
      <c r="F8" s="33">
        <v>0.79041087627410889</v>
      </c>
      <c r="G8" s="34">
        <v>0.56609439849853516</v>
      </c>
      <c r="H8" s="33">
        <v>1.3248921632766724</v>
      </c>
      <c r="I8" s="33">
        <v>0.81468832492828369</v>
      </c>
      <c r="J8" s="34">
        <v>0.56251245737075806</v>
      </c>
      <c r="K8" s="33">
        <v>1.2520304918289185</v>
      </c>
      <c r="L8" s="33">
        <v>0.66945558786392212</v>
      </c>
      <c r="M8" s="34">
        <v>0.54661238193511963</v>
      </c>
      <c r="R8">
        <f>E7</f>
        <v>1.745395072080471</v>
      </c>
      <c r="S8">
        <f>F7</f>
        <v>1.0650588914200112</v>
      </c>
      <c r="T8">
        <f>G7</f>
        <v>0.62833278101903423</v>
      </c>
    </row>
    <row r="9" spans="1:20" x14ac:dyDescent="0.25">
      <c r="A9" s="20"/>
      <c r="B9" s="20"/>
      <c r="D9" s="20"/>
      <c r="E9" s="20"/>
      <c r="F9" s="20"/>
      <c r="G9" s="20"/>
      <c r="J9" s="20"/>
      <c r="K9" s="20"/>
      <c r="L9" s="20"/>
      <c r="M9" s="20"/>
      <c r="R9">
        <f>H7</f>
        <v>1.6037182057345356</v>
      </c>
      <c r="S9">
        <f>I7</f>
        <v>1.0545693122678332</v>
      </c>
      <c r="T9">
        <f>J7</f>
        <v>0.78049922651714754</v>
      </c>
    </row>
    <row r="10" spans="1:20" x14ac:dyDescent="0.25">
      <c r="G10" s="20"/>
      <c r="J10" s="20"/>
      <c r="K10" s="20"/>
      <c r="L10" s="20"/>
      <c r="M10" s="20"/>
      <c r="R10">
        <f>K7</f>
        <v>1.8490582881150421</v>
      </c>
      <c r="S10">
        <f>L7</f>
        <v>0.92038942266393586</v>
      </c>
      <c r="T10">
        <f>M7</f>
        <v>0.66933903374053816</v>
      </c>
    </row>
    <row r="11" spans="1:20" ht="18.75" x14ac:dyDescent="0.35">
      <c r="A11" s="24" t="s">
        <v>51</v>
      </c>
      <c r="B11" s="24" t="s">
        <v>31</v>
      </c>
      <c r="C11" s="24" t="s">
        <v>18</v>
      </c>
      <c r="D11" s="24" t="s">
        <v>30</v>
      </c>
      <c r="E11" s="37" t="s">
        <v>17</v>
      </c>
      <c r="F11" s="37" t="s">
        <v>56</v>
      </c>
      <c r="G11" s="20"/>
      <c r="H11" s="31"/>
      <c r="I11" s="31"/>
      <c r="J11" s="20"/>
      <c r="K11" s="20"/>
      <c r="L11" s="20"/>
      <c r="M11" s="20"/>
    </row>
    <row r="12" spans="1:20" x14ac:dyDescent="0.25">
      <c r="A12" s="23">
        <v>1</v>
      </c>
      <c r="B12" s="23">
        <v>0.1</v>
      </c>
      <c r="C12" s="2">
        <v>0.1</v>
      </c>
      <c r="D12" s="23">
        <v>0.7</v>
      </c>
      <c r="E12" s="23">
        <v>1</v>
      </c>
      <c r="F12" s="23">
        <v>1.5306242704391479</v>
      </c>
      <c r="G12" s="20"/>
      <c r="J12" s="20"/>
      <c r="K12" s="20"/>
      <c r="L12" s="20"/>
      <c r="M12" s="20"/>
    </row>
    <row r="13" spans="1:20" x14ac:dyDescent="0.25">
      <c r="A13" s="23">
        <v>2</v>
      </c>
      <c r="B13" s="23">
        <v>0.1</v>
      </c>
      <c r="C13" s="2">
        <v>0.1</v>
      </c>
      <c r="D13" s="23">
        <v>0.7</v>
      </c>
      <c r="E13" s="23">
        <v>5.5</v>
      </c>
      <c r="F13" s="23">
        <v>0.85987007617950439</v>
      </c>
      <c r="G13" s="20"/>
      <c r="J13" s="20"/>
      <c r="K13" s="20"/>
      <c r="L13" s="20"/>
      <c r="M13" s="20"/>
    </row>
    <row r="14" spans="1:20" x14ac:dyDescent="0.25">
      <c r="A14" s="23">
        <v>3</v>
      </c>
      <c r="B14" s="23">
        <v>0.1</v>
      </c>
      <c r="C14" s="2">
        <v>0.1</v>
      </c>
      <c r="D14" s="23">
        <v>0.7</v>
      </c>
      <c r="E14" s="23">
        <v>10</v>
      </c>
      <c r="F14" s="23">
        <v>0.70853912830352783</v>
      </c>
      <c r="G14" s="20"/>
      <c r="J14" s="20"/>
      <c r="K14" s="20"/>
      <c r="L14" s="20"/>
      <c r="M14" s="20"/>
    </row>
    <row r="15" spans="1:20" x14ac:dyDescent="0.25">
      <c r="A15" s="23">
        <v>4</v>
      </c>
      <c r="B15" s="23">
        <v>0.1</v>
      </c>
      <c r="C15" s="2">
        <v>0.1</v>
      </c>
      <c r="D15" s="23">
        <v>0.82499999999999996</v>
      </c>
      <c r="E15" s="23">
        <v>1</v>
      </c>
      <c r="F15" s="23">
        <v>1.1766966581344604</v>
      </c>
      <c r="G15" s="20"/>
      <c r="H15" t="s">
        <v>61</v>
      </c>
      <c r="J15" s="20"/>
      <c r="K15" s="20"/>
      <c r="L15" s="20"/>
      <c r="M15" s="20"/>
    </row>
    <row r="16" spans="1:20" x14ac:dyDescent="0.25">
      <c r="A16" s="23">
        <v>5</v>
      </c>
      <c r="B16" s="23">
        <v>0.1</v>
      </c>
      <c r="C16" s="2">
        <v>0.1</v>
      </c>
      <c r="D16" s="23">
        <v>0.82499999999999996</v>
      </c>
      <c r="E16" s="23">
        <v>5.5</v>
      </c>
      <c r="F16" s="23">
        <v>0.66104155778884888</v>
      </c>
      <c r="G16" s="20"/>
      <c r="H16">
        <f>MAX(F12:F92)</f>
        <v>6.0028805732727051</v>
      </c>
      <c r="J16" s="20"/>
      <c r="K16" s="20"/>
      <c r="L16" s="20"/>
      <c r="M16" s="20"/>
    </row>
    <row r="17" spans="1:13" x14ac:dyDescent="0.25">
      <c r="A17" s="23">
        <v>6</v>
      </c>
      <c r="B17" s="23">
        <v>0.1</v>
      </c>
      <c r="C17" s="2">
        <v>0.1</v>
      </c>
      <c r="D17" s="23">
        <v>0.82499999999999996</v>
      </c>
      <c r="E17" s="23">
        <v>10</v>
      </c>
      <c r="F17" s="23">
        <v>0.54470300674438477</v>
      </c>
      <c r="G17" s="20"/>
      <c r="H17" t="s">
        <v>62</v>
      </c>
      <c r="J17" s="20"/>
      <c r="K17" s="20"/>
      <c r="L17" s="20"/>
      <c r="M17" s="20"/>
    </row>
    <row r="18" spans="1:13" x14ac:dyDescent="0.25">
      <c r="A18" s="23">
        <v>7</v>
      </c>
      <c r="B18" s="23">
        <v>0.1</v>
      </c>
      <c r="C18" s="2">
        <v>0.1</v>
      </c>
      <c r="D18" s="23">
        <v>0.95</v>
      </c>
      <c r="E18" s="23">
        <v>1</v>
      </c>
      <c r="F18" s="23">
        <v>1.0119506120681763</v>
      </c>
      <c r="G18" s="20"/>
      <c r="H18">
        <f>MIN(F12:F92)</f>
        <v>0.1286747008562088</v>
      </c>
      <c r="J18" s="20"/>
      <c r="K18" s="20"/>
      <c r="L18" s="20"/>
      <c r="M18" s="20"/>
    </row>
    <row r="19" spans="1:13" x14ac:dyDescent="0.25">
      <c r="A19" s="23">
        <v>8</v>
      </c>
      <c r="B19" s="23">
        <v>0.1</v>
      </c>
      <c r="C19" s="2">
        <v>0.1</v>
      </c>
      <c r="D19" s="23">
        <v>0.95</v>
      </c>
      <c r="E19" s="23">
        <v>5.5</v>
      </c>
      <c r="F19" s="23">
        <v>0.56849092245101929</v>
      </c>
      <c r="G19" s="20"/>
      <c r="H19" t="s">
        <v>63</v>
      </c>
      <c r="J19" s="20"/>
      <c r="K19" s="20"/>
      <c r="L19" s="20"/>
      <c r="M19" s="20"/>
    </row>
    <row r="20" spans="1:13" x14ac:dyDescent="0.25">
      <c r="A20" s="23">
        <v>9</v>
      </c>
      <c r="B20" s="23">
        <v>0.1</v>
      </c>
      <c r="C20" s="2">
        <v>0.1</v>
      </c>
      <c r="D20" s="23">
        <v>0.95</v>
      </c>
      <c r="E20" s="23">
        <v>10</v>
      </c>
      <c r="F20" s="23">
        <v>0.46844062209129333</v>
      </c>
      <c r="G20" s="20"/>
      <c r="H20">
        <f>AVERAGE(F12:F92)</f>
        <v>1.1462622481731721</v>
      </c>
      <c r="J20" s="20"/>
      <c r="K20" s="20"/>
      <c r="L20" s="20"/>
      <c r="M20" s="20"/>
    </row>
    <row r="21" spans="1:13" x14ac:dyDescent="0.25">
      <c r="A21" s="23">
        <v>10</v>
      </c>
      <c r="B21" s="23">
        <v>0.1</v>
      </c>
      <c r="C21" s="2">
        <v>0.25</v>
      </c>
      <c r="D21" s="23">
        <v>0.7</v>
      </c>
      <c r="E21" s="23">
        <v>1</v>
      </c>
      <c r="F21" s="23">
        <v>1.0022627115249634</v>
      </c>
      <c r="G21" s="20"/>
      <c r="J21" s="20"/>
      <c r="K21" s="20"/>
      <c r="L21" s="20"/>
      <c r="M21" s="20"/>
    </row>
    <row r="22" spans="1:13" x14ac:dyDescent="0.25">
      <c r="A22" s="23">
        <v>11</v>
      </c>
      <c r="B22" s="23">
        <v>0.1</v>
      </c>
      <c r="C22" s="2">
        <v>0.25</v>
      </c>
      <c r="D22" s="23">
        <v>0.7</v>
      </c>
      <c r="E22" s="23">
        <v>5.5</v>
      </c>
      <c r="F22" s="23">
        <v>0.53980845212936401</v>
      </c>
      <c r="G22" s="20"/>
      <c r="J22" s="20"/>
      <c r="K22" s="20"/>
      <c r="L22" s="20"/>
      <c r="M22" s="20"/>
    </row>
    <row r="23" spans="1:13" x14ac:dyDescent="0.25">
      <c r="A23" s="23">
        <v>12</v>
      </c>
      <c r="B23" s="23">
        <v>0.1</v>
      </c>
      <c r="C23" s="2">
        <v>0.25</v>
      </c>
      <c r="D23" s="23">
        <v>0.7</v>
      </c>
      <c r="E23" s="23">
        <v>10</v>
      </c>
      <c r="F23" s="23">
        <v>0.43976208567619324</v>
      </c>
      <c r="G23" s="20"/>
      <c r="J23" s="20"/>
      <c r="K23" s="20"/>
      <c r="L23" s="20"/>
      <c r="M23" s="20"/>
    </row>
    <row r="24" spans="1:13" x14ac:dyDescent="0.25">
      <c r="A24" s="23">
        <v>13</v>
      </c>
      <c r="B24" s="23">
        <v>0.1</v>
      </c>
      <c r="C24" s="2">
        <v>0.25</v>
      </c>
      <c r="D24" s="23">
        <v>0.82499999999999996</v>
      </c>
      <c r="E24" s="23">
        <v>1</v>
      </c>
      <c r="F24" s="23">
        <v>0.77050864696502686</v>
      </c>
      <c r="G24" s="20"/>
      <c r="J24" s="20"/>
      <c r="K24" s="20"/>
      <c r="L24" s="20"/>
      <c r="M24" s="20"/>
    </row>
    <row r="25" spans="1:13" x14ac:dyDescent="0.25">
      <c r="A25" s="23">
        <v>14</v>
      </c>
      <c r="B25" s="23">
        <v>0.1</v>
      </c>
      <c r="C25" s="2">
        <v>0.25</v>
      </c>
      <c r="D25" s="23">
        <v>0.82499999999999996</v>
      </c>
      <c r="E25" s="23">
        <v>5.5</v>
      </c>
      <c r="F25" s="23">
        <v>0.41498807072639465</v>
      </c>
      <c r="G25" s="20"/>
      <c r="J25" s="20"/>
      <c r="K25" s="20"/>
      <c r="L25" s="20"/>
      <c r="M25" s="20"/>
    </row>
    <row r="26" spans="1:13" x14ac:dyDescent="0.25">
      <c r="A26" s="23">
        <v>15</v>
      </c>
      <c r="B26" s="23">
        <v>0.1</v>
      </c>
      <c r="C26" s="2">
        <v>0.25</v>
      </c>
      <c r="D26" s="23">
        <v>0.82499999999999996</v>
      </c>
      <c r="E26" s="23">
        <v>10</v>
      </c>
      <c r="F26" s="23">
        <v>0.33807551860809326</v>
      </c>
      <c r="G26" s="20"/>
      <c r="J26" s="20"/>
      <c r="K26" s="20"/>
      <c r="L26" s="20"/>
      <c r="M26" s="20"/>
    </row>
    <row r="27" spans="1:13" x14ac:dyDescent="0.25">
      <c r="A27" s="23">
        <v>16</v>
      </c>
      <c r="B27" s="23">
        <v>0.1</v>
      </c>
      <c r="C27" s="2">
        <v>0.25</v>
      </c>
      <c r="D27" s="23">
        <v>0.95</v>
      </c>
      <c r="E27" s="23">
        <v>1</v>
      </c>
      <c r="F27" s="23">
        <v>0.6626318097114563</v>
      </c>
      <c r="G27" s="20"/>
      <c r="J27" s="20"/>
      <c r="K27" s="20"/>
      <c r="L27" s="20"/>
      <c r="M27" s="20"/>
    </row>
    <row r="28" spans="1:13" x14ac:dyDescent="0.25">
      <c r="A28" s="23">
        <v>17</v>
      </c>
      <c r="B28" s="23">
        <v>0.1</v>
      </c>
      <c r="C28" s="2">
        <v>0.25</v>
      </c>
      <c r="D28" s="23">
        <v>0.95</v>
      </c>
      <c r="E28" s="23">
        <v>5.5</v>
      </c>
      <c r="F28" s="23">
        <v>0.35688671469688416</v>
      </c>
      <c r="G28" s="20"/>
      <c r="J28" s="20"/>
      <c r="K28" s="20"/>
      <c r="L28" s="20"/>
      <c r="M28" s="20"/>
    </row>
    <row r="29" spans="1:13" x14ac:dyDescent="0.25">
      <c r="A29" s="23">
        <v>18</v>
      </c>
      <c r="B29" s="23">
        <v>0.1</v>
      </c>
      <c r="C29" s="2">
        <v>0.25</v>
      </c>
      <c r="D29" s="23">
        <v>0.95</v>
      </c>
      <c r="E29" s="23">
        <v>10</v>
      </c>
      <c r="F29" s="23">
        <v>0.29074248671531677</v>
      </c>
      <c r="G29" s="20"/>
      <c r="J29" s="20"/>
      <c r="K29" s="20"/>
      <c r="L29" s="20"/>
      <c r="M29" s="20"/>
    </row>
    <row r="30" spans="1:13" x14ac:dyDescent="0.25">
      <c r="A30" s="23">
        <v>19</v>
      </c>
      <c r="B30" s="23">
        <v>0.1</v>
      </c>
      <c r="C30" s="2">
        <v>0.5</v>
      </c>
      <c r="D30" s="23">
        <v>0.7</v>
      </c>
      <c r="E30" s="23">
        <v>1</v>
      </c>
      <c r="F30" s="23">
        <v>0.70022392272949219</v>
      </c>
      <c r="G30" s="20"/>
      <c r="J30" s="20"/>
      <c r="K30" s="20"/>
      <c r="L30" s="20"/>
      <c r="M30" s="20"/>
    </row>
    <row r="31" spans="1:13" x14ac:dyDescent="0.25">
      <c r="A31" s="23">
        <v>20</v>
      </c>
      <c r="B31" s="23">
        <v>0.1</v>
      </c>
      <c r="C31" s="2">
        <v>0.5</v>
      </c>
      <c r="D31" s="23">
        <v>0.7</v>
      </c>
      <c r="E31" s="23">
        <v>5.5</v>
      </c>
      <c r="F31" s="23">
        <v>0.33810192346572876</v>
      </c>
      <c r="G31" s="20"/>
      <c r="J31" s="20"/>
      <c r="K31" s="20"/>
      <c r="L31" s="20"/>
      <c r="M31" s="20"/>
    </row>
    <row r="32" spans="1:13" x14ac:dyDescent="0.25">
      <c r="A32" s="23">
        <v>21</v>
      </c>
      <c r="B32" s="23">
        <v>0.1</v>
      </c>
      <c r="C32" s="2">
        <v>0.5</v>
      </c>
      <c r="D32" s="23">
        <v>0.7</v>
      </c>
      <c r="E32" s="23">
        <v>10</v>
      </c>
      <c r="F32" s="23">
        <v>0.19462671875953674</v>
      </c>
      <c r="G32" s="20"/>
      <c r="J32" s="20"/>
      <c r="K32" s="20"/>
      <c r="L32" s="20"/>
      <c r="M32" s="20"/>
    </row>
    <row r="33" spans="1:13" x14ac:dyDescent="0.25">
      <c r="A33" s="23">
        <v>22</v>
      </c>
      <c r="B33" s="23">
        <v>0.1</v>
      </c>
      <c r="C33" s="2">
        <v>0.5</v>
      </c>
      <c r="D33" s="23">
        <v>0.82499999999999996</v>
      </c>
      <c r="E33" s="23">
        <v>1</v>
      </c>
      <c r="F33" s="23">
        <v>0.53831052780151367</v>
      </c>
      <c r="G33" s="20"/>
      <c r="J33" s="20"/>
      <c r="K33" s="20"/>
      <c r="L33" s="20"/>
      <c r="M33" s="20"/>
    </row>
    <row r="34" spans="1:13" x14ac:dyDescent="0.25">
      <c r="A34" s="23">
        <v>23</v>
      </c>
      <c r="B34" s="23">
        <v>0.1</v>
      </c>
      <c r="C34" s="2">
        <v>0.5</v>
      </c>
      <c r="D34" s="23">
        <v>0.82499999999999996</v>
      </c>
      <c r="E34" s="23">
        <v>5.5</v>
      </c>
      <c r="F34" s="23">
        <v>0.2599223256111145</v>
      </c>
      <c r="G34" s="20"/>
      <c r="J34" s="20"/>
      <c r="K34" s="20"/>
      <c r="L34" s="20"/>
      <c r="M34" s="20"/>
    </row>
    <row r="35" spans="1:13" x14ac:dyDescent="0.25">
      <c r="A35" s="23">
        <v>24</v>
      </c>
      <c r="B35" s="23">
        <v>0.1</v>
      </c>
      <c r="C35" s="2">
        <v>0.5</v>
      </c>
      <c r="D35" s="23">
        <v>0.82499999999999996</v>
      </c>
      <c r="E35" s="23">
        <v>10</v>
      </c>
      <c r="F35" s="23">
        <v>0.14962302148342133</v>
      </c>
      <c r="G35" s="20"/>
      <c r="J35" s="20"/>
      <c r="K35" s="20"/>
      <c r="L35" s="20"/>
      <c r="M35" s="20"/>
    </row>
    <row r="36" spans="1:13" x14ac:dyDescent="0.25">
      <c r="A36" s="23">
        <v>25</v>
      </c>
      <c r="B36" s="23">
        <v>0.1</v>
      </c>
      <c r="C36" s="2">
        <v>0.5</v>
      </c>
      <c r="D36" s="23">
        <v>0.95</v>
      </c>
      <c r="E36" s="23">
        <v>1</v>
      </c>
      <c r="F36" s="23">
        <v>0.46294313669204712</v>
      </c>
      <c r="G36" s="20"/>
      <c r="J36" s="20"/>
      <c r="K36" s="20"/>
      <c r="L36" s="20"/>
      <c r="M36" s="20"/>
    </row>
    <row r="37" spans="1:13" x14ac:dyDescent="0.25">
      <c r="A37" s="2">
        <v>26</v>
      </c>
      <c r="B37" s="2">
        <v>0.1</v>
      </c>
      <c r="C37" s="2">
        <v>0.5</v>
      </c>
      <c r="D37" s="2">
        <v>0.95</v>
      </c>
      <c r="E37" s="2">
        <v>5.5</v>
      </c>
      <c r="F37" s="2">
        <v>0.22353130578994751</v>
      </c>
    </row>
    <row r="38" spans="1:13" x14ac:dyDescent="0.25">
      <c r="A38" s="2">
        <v>27</v>
      </c>
      <c r="B38" s="2">
        <v>0.1</v>
      </c>
      <c r="C38" s="2">
        <v>0.5</v>
      </c>
      <c r="D38" s="2">
        <v>0.95</v>
      </c>
      <c r="E38" s="2">
        <v>10</v>
      </c>
      <c r="F38" s="40">
        <v>0.1286747008562088</v>
      </c>
    </row>
    <row r="39" spans="1:13" x14ac:dyDescent="0.25">
      <c r="A39" s="2">
        <v>28</v>
      </c>
      <c r="B39" s="2">
        <v>0.2</v>
      </c>
      <c r="C39" s="2">
        <v>0.1</v>
      </c>
      <c r="D39" s="2">
        <v>0.7</v>
      </c>
      <c r="E39" s="2">
        <v>1</v>
      </c>
      <c r="F39" s="45">
        <v>3.6250984668731689</v>
      </c>
    </row>
    <row r="40" spans="1:13" x14ac:dyDescent="0.25">
      <c r="A40" s="2">
        <v>29</v>
      </c>
      <c r="B40" s="2">
        <v>0.2</v>
      </c>
      <c r="C40" s="2">
        <v>0.1</v>
      </c>
      <c r="D40" s="2">
        <v>0.7</v>
      </c>
      <c r="E40" s="2">
        <v>5.5</v>
      </c>
      <c r="F40" s="2">
        <v>1.9733413457870483</v>
      </c>
    </row>
    <row r="41" spans="1:13" x14ac:dyDescent="0.25">
      <c r="A41" s="2">
        <v>30</v>
      </c>
      <c r="B41" s="2">
        <v>0.2</v>
      </c>
      <c r="C41" s="2">
        <v>0.1</v>
      </c>
      <c r="D41" s="2">
        <v>0.7</v>
      </c>
      <c r="E41" s="2">
        <v>10</v>
      </c>
      <c r="F41" s="2">
        <v>1.5756196975708008</v>
      </c>
    </row>
    <row r="42" spans="1:13" x14ac:dyDescent="0.25">
      <c r="A42" s="2">
        <v>31</v>
      </c>
      <c r="B42" s="2">
        <v>0.2</v>
      </c>
      <c r="C42" s="2">
        <v>0.1</v>
      </c>
      <c r="D42" s="2">
        <v>0.82499999999999996</v>
      </c>
      <c r="E42" s="2">
        <v>1</v>
      </c>
      <c r="F42" s="2">
        <v>2.4303135871887207</v>
      </c>
    </row>
    <row r="43" spans="1:13" x14ac:dyDescent="0.25">
      <c r="A43" s="2">
        <v>32</v>
      </c>
      <c r="B43" s="2">
        <v>0.2</v>
      </c>
      <c r="C43" s="2">
        <v>0.1</v>
      </c>
      <c r="D43" s="2">
        <v>0.82499999999999996</v>
      </c>
      <c r="E43" s="2">
        <v>5.5</v>
      </c>
      <c r="F43" s="2">
        <v>1.3229539394378662</v>
      </c>
    </row>
    <row r="44" spans="1:13" x14ac:dyDescent="0.25">
      <c r="A44" s="2">
        <v>33</v>
      </c>
      <c r="B44" s="2">
        <v>0.2</v>
      </c>
      <c r="C44" s="2">
        <v>0.1</v>
      </c>
      <c r="D44" s="2">
        <v>0.82499999999999996</v>
      </c>
      <c r="E44" s="2">
        <v>10</v>
      </c>
      <c r="F44" s="2">
        <v>1.0563161373138428</v>
      </c>
    </row>
    <row r="45" spans="1:13" x14ac:dyDescent="0.25">
      <c r="A45" s="2">
        <v>34</v>
      </c>
      <c r="B45" s="2">
        <v>0.2</v>
      </c>
      <c r="C45" s="2">
        <v>0.1</v>
      </c>
      <c r="D45" s="2">
        <v>0.95</v>
      </c>
      <c r="E45" s="2">
        <v>1</v>
      </c>
      <c r="F45" s="2">
        <v>1.8226516246795654</v>
      </c>
    </row>
    <row r="46" spans="1:13" x14ac:dyDescent="0.25">
      <c r="A46" s="2">
        <v>35</v>
      </c>
      <c r="B46" s="2">
        <v>0.2</v>
      </c>
      <c r="C46" s="2">
        <v>0.1</v>
      </c>
      <c r="D46" s="2">
        <v>0.95</v>
      </c>
      <c r="E46" s="2">
        <v>5.5</v>
      </c>
      <c r="F46" s="2">
        <v>0.99216997623443604</v>
      </c>
    </row>
    <row r="47" spans="1:13" x14ac:dyDescent="0.25">
      <c r="A47" s="2">
        <v>36</v>
      </c>
      <c r="B47" s="2">
        <v>0.2</v>
      </c>
      <c r="C47" s="2">
        <v>0.1</v>
      </c>
      <c r="D47" s="2">
        <v>0.95</v>
      </c>
      <c r="E47" s="2">
        <v>10</v>
      </c>
      <c r="F47" s="2">
        <v>0.79220080375671387</v>
      </c>
    </row>
    <row r="48" spans="1:13" x14ac:dyDescent="0.25">
      <c r="A48" s="2">
        <v>37</v>
      </c>
      <c r="B48" s="2">
        <v>0.2</v>
      </c>
      <c r="C48" s="2">
        <v>0.25</v>
      </c>
      <c r="D48" s="2">
        <v>0.7</v>
      </c>
      <c r="E48" s="2">
        <v>1</v>
      </c>
      <c r="F48" s="2">
        <v>2.3489413261413574</v>
      </c>
    </row>
    <row r="49" spans="1:6" x14ac:dyDescent="0.25">
      <c r="A49" s="2">
        <v>38</v>
      </c>
      <c r="B49" s="2">
        <v>0.2</v>
      </c>
      <c r="C49" s="2">
        <v>0.25</v>
      </c>
      <c r="D49" s="2">
        <v>0.7</v>
      </c>
      <c r="E49" s="2">
        <v>5.5</v>
      </c>
      <c r="F49" s="2">
        <v>1.1692994832992554</v>
      </c>
    </row>
    <row r="50" spans="1:6" x14ac:dyDescent="0.25">
      <c r="A50" s="2">
        <v>39</v>
      </c>
      <c r="B50" s="2">
        <v>0.2</v>
      </c>
      <c r="C50" s="2">
        <v>0.25</v>
      </c>
      <c r="D50" s="2">
        <v>0.7</v>
      </c>
      <c r="E50" s="2">
        <v>10</v>
      </c>
      <c r="F50" s="2">
        <v>0.88043910264968872</v>
      </c>
    </row>
    <row r="51" spans="1:6" x14ac:dyDescent="0.25">
      <c r="A51" s="2">
        <v>40</v>
      </c>
      <c r="B51" s="2">
        <v>0.2</v>
      </c>
      <c r="C51" s="2">
        <v>0.25</v>
      </c>
      <c r="D51" s="2">
        <v>0.82499999999999996</v>
      </c>
      <c r="E51" s="2">
        <v>1</v>
      </c>
      <c r="F51" s="2">
        <v>1.5747611522674561</v>
      </c>
    </row>
    <row r="52" spans="1:6" x14ac:dyDescent="0.25">
      <c r="A52" s="2">
        <v>41</v>
      </c>
      <c r="B52" s="2">
        <v>0.2</v>
      </c>
      <c r="C52" s="2">
        <v>0.25</v>
      </c>
      <c r="D52" s="2">
        <v>0.82499999999999996</v>
      </c>
      <c r="E52" s="2">
        <v>5.5</v>
      </c>
      <c r="F52" s="2">
        <v>0.78391367197036743</v>
      </c>
    </row>
    <row r="53" spans="1:6" x14ac:dyDescent="0.25">
      <c r="A53" s="2">
        <v>42</v>
      </c>
      <c r="B53" s="2">
        <v>0.2</v>
      </c>
      <c r="C53" s="2">
        <v>0.25</v>
      </c>
      <c r="D53" s="2">
        <v>0.82499999999999996</v>
      </c>
      <c r="E53" s="2">
        <v>10</v>
      </c>
      <c r="F53" s="2">
        <v>0.59025794267654419</v>
      </c>
    </row>
    <row r="54" spans="1:6" x14ac:dyDescent="0.25">
      <c r="A54" s="2">
        <v>43</v>
      </c>
      <c r="B54" s="2">
        <v>0.2</v>
      </c>
      <c r="C54" s="2">
        <v>0.25</v>
      </c>
      <c r="D54" s="2">
        <v>0.95</v>
      </c>
      <c r="E54" s="2">
        <v>1</v>
      </c>
      <c r="F54" s="2">
        <v>1.1810166835784912</v>
      </c>
    </row>
    <row r="55" spans="1:6" x14ac:dyDescent="0.25">
      <c r="A55" s="2">
        <v>44</v>
      </c>
      <c r="B55" s="2">
        <v>0.2</v>
      </c>
      <c r="C55" s="2">
        <v>0.25</v>
      </c>
      <c r="D55" s="2">
        <v>0.95</v>
      </c>
      <c r="E55" s="2">
        <v>5.5</v>
      </c>
      <c r="F55" s="2">
        <v>0.58790832757949829</v>
      </c>
    </row>
    <row r="56" spans="1:6" x14ac:dyDescent="0.25">
      <c r="A56" s="2">
        <v>45</v>
      </c>
      <c r="B56" s="2">
        <v>0.2</v>
      </c>
      <c r="C56" s="2">
        <v>0.25</v>
      </c>
      <c r="D56" s="2">
        <v>0.95</v>
      </c>
      <c r="E56" s="2">
        <v>10</v>
      </c>
      <c r="F56" s="46">
        <v>0.44267314672470093</v>
      </c>
    </row>
    <row r="57" spans="1:6" x14ac:dyDescent="0.25">
      <c r="A57" s="2">
        <v>46</v>
      </c>
      <c r="B57" s="2">
        <v>0.2</v>
      </c>
      <c r="C57" s="2">
        <v>0.5</v>
      </c>
      <c r="D57" s="2">
        <v>0.7</v>
      </c>
      <c r="E57" s="2">
        <v>1</v>
      </c>
      <c r="F57" s="46">
        <v>1.6125994920730591</v>
      </c>
    </row>
    <row r="58" spans="1:6" x14ac:dyDescent="0.25">
      <c r="A58" s="2">
        <v>47</v>
      </c>
      <c r="B58" s="2">
        <v>0.2</v>
      </c>
      <c r="C58" s="2">
        <v>0.5</v>
      </c>
      <c r="D58" s="2">
        <v>0.7</v>
      </c>
      <c r="E58" s="2">
        <v>5.5</v>
      </c>
      <c r="F58" s="46">
        <v>0.66516309976577759</v>
      </c>
    </row>
    <row r="59" spans="1:6" x14ac:dyDescent="0.25">
      <c r="A59" s="2">
        <v>48</v>
      </c>
      <c r="B59" s="2">
        <v>0.2</v>
      </c>
      <c r="C59" s="2">
        <v>0.5</v>
      </c>
      <c r="D59" s="2">
        <v>0.7</v>
      </c>
      <c r="E59" s="2">
        <v>10</v>
      </c>
      <c r="F59" s="46">
        <v>0.32709503173828125</v>
      </c>
    </row>
    <row r="60" spans="1:6" x14ac:dyDescent="0.25">
      <c r="A60" s="2">
        <v>49</v>
      </c>
      <c r="B60" s="2">
        <v>0.2</v>
      </c>
      <c r="C60" s="2">
        <v>0.5</v>
      </c>
      <c r="D60" s="2">
        <v>0.82499999999999996</v>
      </c>
      <c r="E60" s="2">
        <v>1</v>
      </c>
      <c r="F60" s="2">
        <v>1.0811079740524292</v>
      </c>
    </row>
    <row r="61" spans="1:6" x14ac:dyDescent="0.25">
      <c r="A61" s="2">
        <v>50</v>
      </c>
      <c r="B61" s="2">
        <v>0.2</v>
      </c>
      <c r="C61" s="2">
        <v>0.5</v>
      </c>
      <c r="D61" s="2">
        <v>0.82499999999999996</v>
      </c>
      <c r="E61" s="2">
        <v>5.5</v>
      </c>
      <c r="F61" s="2">
        <v>0.44593408703804016</v>
      </c>
    </row>
    <row r="62" spans="1:6" x14ac:dyDescent="0.25">
      <c r="A62" s="2">
        <v>51</v>
      </c>
      <c r="B62" s="2">
        <v>0.2</v>
      </c>
      <c r="C62" s="2">
        <v>0.5</v>
      </c>
      <c r="D62" s="2">
        <v>0.82499999999999996</v>
      </c>
      <c r="E62" s="2">
        <v>10</v>
      </c>
      <c r="F62" s="2">
        <v>0.21928879618644714</v>
      </c>
    </row>
    <row r="63" spans="1:6" x14ac:dyDescent="0.25">
      <c r="A63" s="2">
        <v>52</v>
      </c>
      <c r="B63" s="2">
        <v>0.2</v>
      </c>
      <c r="C63" s="2">
        <v>0.5</v>
      </c>
      <c r="D63" s="2">
        <v>0.95</v>
      </c>
      <c r="E63" s="2">
        <v>1</v>
      </c>
      <c r="F63" s="2">
        <v>0.81079375743865967</v>
      </c>
    </row>
    <row r="64" spans="1:6" x14ac:dyDescent="0.25">
      <c r="A64" s="2">
        <v>53</v>
      </c>
      <c r="B64" s="2">
        <v>0.2</v>
      </c>
      <c r="C64" s="2">
        <v>0.5</v>
      </c>
      <c r="D64" s="2">
        <v>0.95</v>
      </c>
      <c r="E64" s="2">
        <v>5.5</v>
      </c>
      <c r="F64" s="2">
        <v>0.33443522453308105</v>
      </c>
    </row>
    <row r="65" spans="1:6" x14ac:dyDescent="0.25">
      <c r="A65" s="2">
        <v>54</v>
      </c>
      <c r="B65" s="2">
        <v>0.2</v>
      </c>
      <c r="C65" s="2">
        <v>0.5</v>
      </c>
      <c r="D65" s="2">
        <v>0.95</v>
      </c>
      <c r="E65" s="2">
        <v>10</v>
      </c>
      <c r="F65" s="2">
        <v>0.16445906460285187</v>
      </c>
    </row>
    <row r="66" spans="1:6" x14ac:dyDescent="0.25">
      <c r="A66" s="2">
        <v>55</v>
      </c>
      <c r="B66" s="41">
        <v>0.3</v>
      </c>
      <c r="C66" s="41">
        <v>0.1</v>
      </c>
      <c r="D66" s="41">
        <v>0.7</v>
      </c>
      <c r="E66" s="41">
        <v>1</v>
      </c>
      <c r="F66" s="40">
        <v>6.0028805732727051</v>
      </c>
    </row>
    <row r="67" spans="1:6" x14ac:dyDescent="0.25">
      <c r="A67" s="2">
        <v>56</v>
      </c>
      <c r="B67" s="2">
        <v>0.3</v>
      </c>
      <c r="C67" s="2">
        <v>0.1</v>
      </c>
      <c r="D67" s="2">
        <v>0.7</v>
      </c>
      <c r="E67" s="2">
        <v>5.5</v>
      </c>
      <c r="F67" s="2">
        <v>3.2080328464508057</v>
      </c>
    </row>
    <row r="68" spans="1:6" x14ac:dyDescent="0.25">
      <c r="A68" s="2">
        <v>57</v>
      </c>
      <c r="B68" s="2">
        <v>0.3</v>
      </c>
      <c r="C68" s="2">
        <v>0.1</v>
      </c>
      <c r="D68" s="2">
        <v>0.7</v>
      </c>
      <c r="E68" s="2">
        <v>10</v>
      </c>
      <c r="F68" s="2">
        <v>2.5146911144256592</v>
      </c>
    </row>
    <row r="69" spans="1:6" x14ac:dyDescent="0.25">
      <c r="A69" s="2">
        <v>58</v>
      </c>
      <c r="B69" s="2">
        <v>0.3</v>
      </c>
      <c r="C69" s="2">
        <v>0.1</v>
      </c>
      <c r="D69" s="2">
        <v>0.82499999999999996</v>
      </c>
      <c r="E69" s="2">
        <v>1</v>
      </c>
      <c r="F69" s="2">
        <v>3.7147040367126465</v>
      </c>
    </row>
    <row r="70" spans="1:6" x14ac:dyDescent="0.25">
      <c r="A70" s="2">
        <v>59</v>
      </c>
      <c r="B70" s="2">
        <v>0.3</v>
      </c>
      <c r="C70" s="2">
        <v>0.1</v>
      </c>
      <c r="D70" s="2">
        <v>0.82499999999999996</v>
      </c>
      <c r="E70" s="2">
        <v>5.5</v>
      </c>
      <c r="F70" s="2">
        <v>1.985195517539978</v>
      </c>
    </row>
    <row r="71" spans="1:6" x14ac:dyDescent="0.25">
      <c r="A71" s="2">
        <v>60</v>
      </c>
      <c r="B71" s="2">
        <v>0.3</v>
      </c>
      <c r="C71" s="2">
        <v>0.1</v>
      </c>
      <c r="D71" s="2">
        <v>0.82499999999999996</v>
      </c>
      <c r="E71" s="2">
        <v>10</v>
      </c>
      <c r="F71" s="2">
        <v>1.5561416149139404</v>
      </c>
    </row>
    <row r="72" spans="1:6" x14ac:dyDescent="0.25">
      <c r="A72" s="2">
        <v>61</v>
      </c>
      <c r="B72" s="2">
        <v>0.3</v>
      </c>
      <c r="C72" s="2">
        <v>0.1</v>
      </c>
      <c r="D72" s="2">
        <v>0.95</v>
      </c>
      <c r="E72" s="2">
        <v>1</v>
      </c>
      <c r="F72" s="2">
        <v>2.5715060234069824</v>
      </c>
    </row>
    <row r="73" spans="1:6" x14ac:dyDescent="0.25">
      <c r="A73" s="2">
        <v>62</v>
      </c>
      <c r="B73" s="2">
        <v>0.3</v>
      </c>
      <c r="C73" s="2">
        <v>0.1</v>
      </c>
      <c r="D73" s="2">
        <v>0.95</v>
      </c>
      <c r="E73" s="2">
        <v>5.5</v>
      </c>
      <c r="F73" s="2">
        <v>1.3742527961730957</v>
      </c>
    </row>
    <row r="74" spans="1:6" x14ac:dyDescent="0.25">
      <c r="A74" s="2">
        <v>63</v>
      </c>
      <c r="B74" s="2">
        <v>0.3</v>
      </c>
      <c r="C74" s="2">
        <v>0.1</v>
      </c>
      <c r="D74" s="2">
        <v>0.95</v>
      </c>
      <c r="E74" s="2">
        <v>10</v>
      </c>
      <c r="F74" s="2">
        <v>1.077239990234375</v>
      </c>
    </row>
    <row r="75" spans="1:6" x14ac:dyDescent="0.25">
      <c r="A75" s="2">
        <v>64</v>
      </c>
      <c r="B75" s="2">
        <v>0.3</v>
      </c>
      <c r="C75" s="2">
        <v>0.25</v>
      </c>
      <c r="D75" s="2">
        <v>0.7</v>
      </c>
      <c r="E75" s="2">
        <v>1</v>
      </c>
      <c r="F75" s="2">
        <v>3.8658437728881836</v>
      </c>
    </row>
    <row r="76" spans="1:6" x14ac:dyDescent="0.25">
      <c r="A76" s="2">
        <v>65</v>
      </c>
      <c r="B76" s="2">
        <v>0.3</v>
      </c>
      <c r="C76" s="2">
        <v>0.25</v>
      </c>
      <c r="D76" s="2">
        <v>0.7</v>
      </c>
      <c r="E76" s="2">
        <v>5.5</v>
      </c>
      <c r="F76" s="2">
        <v>1.8377629518508911</v>
      </c>
    </row>
    <row r="77" spans="1:6" x14ac:dyDescent="0.25">
      <c r="A77" s="2">
        <v>66</v>
      </c>
      <c r="B77" s="2">
        <v>0.3</v>
      </c>
      <c r="C77" s="2">
        <v>0.25</v>
      </c>
      <c r="D77" s="2">
        <v>0.7</v>
      </c>
      <c r="E77" s="2">
        <v>10</v>
      </c>
      <c r="F77" s="2">
        <v>1.3214620351791382</v>
      </c>
    </row>
    <row r="78" spans="1:6" x14ac:dyDescent="0.25">
      <c r="A78" s="2">
        <v>67</v>
      </c>
      <c r="B78" s="2">
        <v>0.3</v>
      </c>
      <c r="C78" s="2">
        <v>0.25</v>
      </c>
      <c r="D78" s="2">
        <v>0.82499999999999996</v>
      </c>
      <c r="E78" s="2">
        <v>1</v>
      </c>
      <c r="F78" s="2">
        <v>2.3922622203826904</v>
      </c>
    </row>
    <row r="79" spans="1:6" x14ac:dyDescent="0.25">
      <c r="A79" s="2">
        <v>68</v>
      </c>
      <c r="B79" s="2">
        <v>0.3</v>
      </c>
      <c r="C79" s="2">
        <v>0.25</v>
      </c>
      <c r="D79" s="2">
        <v>0.82499999999999996</v>
      </c>
      <c r="E79" s="2">
        <v>5.5</v>
      </c>
      <c r="F79" s="2">
        <v>1.1372448205947876</v>
      </c>
    </row>
    <row r="80" spans="1:6" x14ac:dyDescent="0.25">
      <c r="A80" s="2">
        <v>69</v>
      </c>
      <c r="B80" s="2">
        <v>0.3</v>
      </c>
      <c r="C80" s="2">
        <v>0.25</v>
      </c>
      <c r="D80" s="2">
        <v>0.82499999999999996</v>
      </c>
      <c r="E80" s="2">
        <v>10</v>
      </c>
      <c r="F80" s="2">
        <v>0.81774741411209106</v>
      </c>
    </row>
    <row r="81" spans="1:6" x14ac:dyDescent="0.25">
      <c r="A81" s="2">
        <v>70</v>
      </c>
      <c r="B81" s="2">
        <v>0.3</v>
      </c>
      <c r="C81" s="2">
        <v>0.25</v>
      </c>
      <c r="D81" s="2">
        <v>0.95</v>
      </c>
      <c r="E81" s="2">
        <v>1</v>
      </c>
      <c r="F81" s="2">
        <v>1.6560449600219727</v>
      </c>
    </row>
    <row r="82" spans="1:6" x14ac:dyDescent="0.25">
      <c r="A82" s="2">
        <v>71</v>
      </c>
      <c r="B82" s="2">
        <v>0.3</v>
      </c>
      <c r="C82" s="2">
        <v>0.25</v>
      </c>
      <c r="D82" s="2">
        <v>0.95</v>
      </c>
      <c r="E82" s="2">
        <v>5.5</v>
      </c>
      <c r="F82" s="2">
        <v>0.78725844621658325</v>
      </c>
    </row>
    <row r="83" spans="1:6" x14ac:dyDescent="0.25">
      <c r="A83" s="2">
        <v>72</v>
      </c>
      <c r="B83" s="2">
        <v>0.3</v>
      </c>
      <c r="C83" s="2">
        <v>0.25</v>
      </c>
      <c r="D83" s="2">
        <v>0.95</v>
      </c>
      <c r="E83" s="2">
        <v>10</v>
      </c>
      <c r="F83" s="2">
        <v>0.56608611345291138</v>
      </c>
    </row>
    <row r="84" spans="1:6" x14ac:dyDescent="0.25">
      <c r="A84" s="2">
        <v>73</v>
      </c>
      <c r="B84" s="2">
        <v>0.3</v>
      </c>
      <c r="C84" s="2">
        <v>0.5</v>
      </c>
      <c r="D84" s="2">
        <v>0.7</v>
      </c>
      <c r="E84" s="2">
        <v>1</v>
      </c>
      <c r="F84" s="2">
        <v>2.6269533634185791</v>
      </c>
    </row>
    <row r="85" spans="1:6" x14ac:dyDescent="0.25">
      <c r="A85" s="2">
        <v>74</v>
      </c>
      <c r="B85" s="2">
        <v>0.3</v>
      </c>
      <c r="C85" s="2">
        <v>0.5</v>
      </c>
      <c r="D85" s="2">
        <v>0.7</v>
      </c>
      <c r="E85" s="2">
        <v>5.5</v>
      </c>
      <c r="F85" s="2">
        <v>0.98818272352218628</v>
      </c>
    </row>
    <row r="86" spans="1:6" x14ac:dyDescent="0.25">
      <c r="A86" s="2">
        <v>75</v>
      </c>
      <c r="B86" s="2">
        <v>0.3</v>
      </c>
      <c r="C86" s="2">
        <v>0.5</v>
      </c>
      <c r="D86" s="2">
        <v>0.7</v>
      </c>
      <c r="E86" s="2">
        <v>10</v>
      </c>
      <c r="F86" s="2">
        <v>0.44316583871841431</v>
      </c>
    </row>
    <row r="87" spans="1:6" x14ac:dyDescent="0.25">
      <c r="A87" s="2">
        <v>76</v>
      </c>
      <c r="B87" s="2">
        <v>0.3</v>
      </c>
      <c r="C87" s="2">
        <v>0.5</v>
      </c>
      <c r="D87" s="2">
        <v>0.82499999999999996</v>
      </c>
      <c r="E87" s="2">
        <v>1</v>
      </c>
      <c r="F87" s="2">
        <v>1.6256117820739746</v>
      </c>
    </row>
    <row r="88" spans="1:6" x14ac:dyDescent="0.25">
      <c r="A88" s="2">
        <v>77</v>
      </c>
      <c r="B88" s="2">
        <v>0.3</v>
      </c>
      <c r="C88" s="2">
        <v>0.5</v>
      </c>
      <c r="D88" s="2">
        <v>0.82499999999999996</v>
      </c>
      <c r="E88" s="2">
        <v>5.5</v>
      </c>
      <c r="F88" s="2">
        <v>0.61150741577148438</v>
      </c>
    </row>
    <row r="89" spans="1:6" x14ac:dyDescent="0.25">
      <c r="A89" s="2">
        <v>78</v>
      </c>
      <c r="B89" s="2">
        <v>0.3</v>
      </c>
      <c r="C89" s="2">
        <v>0.5</v>
      </c>
      <c r="D89" s="2">
        <v>0.82499999999999996</v>
      </c>
      <c r="E89" s="2">
        <v>10</v>
      </c>
      <c r="F89" s="2">
        <v>0.27423998713493347</v>
      </c>
    </row>
    <row r="90" spans="1:6" x14ac:dyDescent="0.25">
      <c r="A90" s="2">
        <v>79</v>
      </c>
      <c r="B90" s="2">
        <v>0.3</v>
      </c>
      <c r="C90" s="2">
        <v>0.5</v>
      </c>
      <c r="D90" s="2">
        <v>0.95</v>
      </c>
      <c r="E90" s="2">
        <v>1</v>
      </c>
      <c r="F90" s="2">
        <v>1.1253306865692139</v>
      </c>
    </row>
    <row r="91" spans="1:6" x14ac:dyDescent="0.25">
      <c r="A91" s="2">
        <v>80</v>
      </c>
      <c r="B91" s="2">
        <v>0.3</v>
      </c>
      <c r="C91" s="2">
        <v>0.5</v>
      </c>
      <c r="D91" s="2">
        <v>0.95</v>
      </c>
      <c r="E91" s="2">
        <v>5.5</v>
      </c>
      <c r="F91" s="2">
        <v>0.42331638932228088</v>
      </c>
    </row>
    <row r="92" spans="1:6" x14ac:dyDescent="0.25">
      <c r="A92" s="2">
        <v>81</v>
      </c>
      <c r="B92" s="2">
        <v>0.3</v>
      </c>
      <c r="C92" s="2">
        <v>0.5</v>
      </c>
      <c r="D92" s="2">
        <v>0.95</v>
      </c>
      <c r="E92" s="2">
        <v>10</v>
      </c>
      <c r="F92" s="2">
        <v>0.18984279036521912</v>
      </c>
    </row>
  </sheetData>
  <mergeCells count="5">
    <mergeCell ref="A4:A6"/>
    <mergeCell ref="K4:M4"/>
    <mergeCell ref="H4:J4"/>
    <mergeCell ref="E4:G4"/>
    <mergeCell ref="B4:D4"/>
  </mergeCells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9367" r:id="rId4" name="Button 279">
              <controlPr defaultSize="0" print="0" autoFill="0" autoPict="0" macro="[0]!Sheet2.calcAvgStDevSurfaceDef">
                <anchor moveWithCells="1" sizeWithCells="1">
                  <from>
                    <xdr:col>9</xdr:col>
                    <xdr:colOff>114300</xdr:colOff>
                    <xdr:row>10</xdr:row>
                    <xdr:rowOff>9525</xdr:rowOff>
                  </from>
                  <to>
                    <xdr:col>11</xdr:col>
                    <xdr:colOff>152400</xdr:colOff>
                    <xdr:row>12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Z740"/>
  <sheetViews>
    <sheetView showGridLines="0" workbookViewId="0">
      <pane ySplit="11" topLeftCell="A12" activePane="bottomLeft" state="frozen"/>
      <selection pane="bottomLeft" activeCell="O20" sqref="O20"/>
    </sheetView>
  </sheetViews>
  <sheetFormatPr defaultRowHeight="15" x14ac:dyDescent="0.25"/>
  <cols>
    <col min="2" max="3" width="8.28515625" bestFit="1" customWidth="1"/>
    <col min="4" max="5" width="9.5703125" bestFit="1" customWidth="1"/>
    <col min="6" max="6" width="8.28515625" bestFit="1" customWidth="1"/>
    <col min="7" max="8" width="12" bestFit="1" customWidth="1"/>
    <col min="9" max="10" width="8.28515625" bestFit="1" customWidth="1"/>
    <col min="11" max="11" width="12" bestFit="1" customWidth="1"/>
    <col min="12" max="12" width="8.28515625" bestFit="1" customWidth="1"/>
    <col min="13" max="13" width="8.7109375" bestFit="1" customWidth="1"/>
    <col min="14" max="14" width="9.5703125" bestFit="1" customWidth="1"/>
    <col min="15" max="15" width="8.28515625" bestFit="1" customWidth="1"/>
    <col min="16" max="16" width="12.140625" bestFit="1" customWidth="1"/>
    <col min="17" max="19" width="8.28515625" bestFit="1" customWidth="1"/>
    <col min="23" max="23" width="9.140625" style="4"/>
  </cols>
  <sheetData>
    <row r="1" spans="1:26" x14ac:dyDescent="0.25">
      <c r="A1" s="1" t="s">
        <v>57</v>
      </c>
    </row>
    <row r="4" spans="1:26" x14ac:dyDescent="0.25">
      <c r="A4" s="116"/>
      <c r="B4" s="125" t="s">
        <v>31</v>
      </c>
      <c r="C4" s="126"/>
      <c r="D4" s="127"/>
      <c r="E4" s="128" t="s">
        <v>18</v>
      </c>
      <c r="F4" s="129"/>
      <c r="G4" s="130"/>
      <c r="H4" s="131" t="s">
        <v>30</v>
      </c>
      <c r="I4" s="132"/>
      <c r="J4" s="133"/>
      <c r="K4" s="134" t="s">
        <v>17</v>
      </c>
      <c r="L4" s="135"/>
      <c r="M4" s="136"/>
      <c r="N4" s="137" t="s">
        <v>58</v>
      </c>
      <c r="O4" s="138"/>
      <c r="P4" s="139"/>
      <c r="Q4" s="122" t="s">
        <v>59</v>
      </c>
      <c r="R4" s="123"/>
      <c r="S4" s="124"/>
      <c r="X4">
        <v>-1</v>
      </c>
      <c r="Y4">
        <v>0</v>
      </c>
      <c r="Z4">
        <v>1</v>
      </c>
    </row>
    <row r="5" spans="1:26" x14ac:dyDescent="0.25">
      <c r="A5" s="118"/>
      <c r="B5" s="25" t="s">
        <v>50</v>
      </c>
      <c r="C5" s="23" t="s">
        <v>52</v>
      </c>
      <c r="D5" s="23" t="s">
        <v>53</v>
      </c>
      <c r="E5" s="27" t="s">
        <v>50</v>
      </c>
      <c r="F5" s="23" t="s">
        <v>52</v>
      </c>
      <c r="G5" s="28" t="s">
        <v>53</v>
      </c>
      <c r="H5" s="23" t="s">
        <v>50</v>
      </c>
      <c r="I5" s="23" t="s">
        <v>52</v>
      </c>
      <c r="J5" s="23" t="s">
        <v>53</v>
      </c>
      <c r="K5" s="27" t="s">
        <v>50</v>
      </c>
      <c r="L5" s="23" t="s">
        <v>52</v>
      </c>
      <c r="M5" s="30" t="s">
        <v>53</v>
      </c>
      <c r="N5" s="31" t="s">
        <v>50</v>
      </c>
      <c r="O5" s="31" t="s">
        <v>52</v>
      </c>
      <c r="P5" s="35" t="s">
        <v>53</v>
      </c>
      <c r="Q5" s="31" t="s">
        <v>60</v>
      </c>
      <c r="R5" s="31" t="s">
        <v>52</v>
      </c>
      <c r="S5" s="35" t="s">
        <v>53</v>
      </c>
      <c r="W5" s="4" t="str">
        <f>B4</f>
        <v>δ</v>
      </c>
      <c r="X5" s="44">
        <f>B7</f>
        <v>1.7185463547216031</v>
      </c>
      <c r="Y5" s="44">
        <f>C7</f>
        <v>2.9255961730248399</v>
      </c>
      <c r="Z5" s="44">
        <f>D7</f>
        <v>4.0641835566778735</v>
      </c>
    </row>
    <row r="6" spans="1:26" x14ac:dyDescent="0.25">
      <c r="A6" s="117"/>
      <c r="B6" s="26">
        <v>0.1</v>
      </c>
      <c r="C6" s="24">
        <v>0.2</v>
      </c>
      <c r="D6" s="24">
        <v>0.3</v>
      </c>
      <c r="E6" s="26">
        <v>0.1</v>
      </c>
      <c r="F6" s="24">
        <v>0.3</v>
      </c>
      <c r="G6" s="29">
        <v>0.5</v>
      </c>
      <c r="H6" s="24">
        <v>0.7</v>
      </c>
      <c r="I6" s="24">
        <v>0.82499999999999996</v>
      </c>
      <c r="J6" s="24">
        <v>0.95</v>
      </c>
      <c r="K6" s="26">
        <v>1</v>
      </c>
      <c r="L6" s="24">
        <v>5.5</v>
      </c>
      <c r="M6" s="29">
        <v>10</v>
      </c>
      <c r="N6" s="26">
        <v>0.1</v>
      </c>
      <c r="O6" s="24">
        <v>0.3</v>
      </c>
      <c r="P6" s="29">
        <v>0.5</v>
      </c>
      <c r="Q6" s="36">
        <v>12.7</v>
      </c>
      <c r="R6" s="37">
        <v>15.9</v>
      </c>
      <c r="S6" s="38">
        <v>25.4</v>
      </c>
      <c r="W6" s="4" t="str">
        <f>E4</f>
        <v>η</v>
      </c>
      <c r="X6" s="44">
        <f>E7</f>
        <v>6.3003456641617133</v>
      </c>
      <c r="Y6" s="44">
        <f>F7</f>
        <v>1.355354430376257</v>
      </c>
      <c r="Z6" s="44">
        <f>G7</f>
        <v>1.0526259898863457</v>
      </c>
    </row>
    <row r="7" spans="1:26" x14ac:dyDescent="0.25">
      <c r="A7" s="34" t="s">
        <v>54</v>
      </c>
      <c r="B7" s="47">
        <v>1.7185463547216031</v>
      </c>
      <c r="C7" s="47">
        <v>2.9255961730248399</v>
      </c>
      <c r="D7" s="48">
        <v>4.0641835566778735</v>
      </c>
      <c r="E7" s="48">
        <v>6.3003456641617133</v>
      </c>
      <c r="F7" s="48">
        <v>1.355354430376257</v>
      </c>
      <c r="G7" s="47">
        <v>1.0526259898863457</v>
      </c>
      <c r="H7" s="47">
        <v>4.1617532363276419</v>
      </c>
      <c r="I7" s="48">
        <v>2.9027753513720302</v>
      </c>
      <c r="J7" s="48">
        <v>1.6437974967246438</v>
      </c>
      <c r="K7" s="48">
        <v>4.6217689758220324</v>
      </c>
      <c r="L7" s="48">
        <v>2.2365169119197157</v>
      </c>
      <c r="M7" s="47">
        <v>1.8500401966825679</v>
      </c>
      <c r="N7" s="48">
        <v>2.2158552196198777</v>
      </c>
      <c r="O7" s="48">
        <v>2.1047224364101642</v>
      </c>
      <c r="P7" s="47">
        <v>4.387748428394274</v>
      </c>
      <c r="Q7" s="48">
        <v>3.4534764118155334</v>
      </c>
      <c r="R7" s="48">
        <v>2.7910602232862893</v>
      </c>
      <c r="S7" s="55">
        <v>2.4637894493224937</v>
      </c>
      <c r="W7" s="4" t="str">
        <f>H4</f>
        <v>λ</v>
      </c>
      <c r="X7" s="44">
        <f>H7</f>
        <v>4.1617532363276419</v>
      </c>
      <c r="Y7" s="44">
        <f>I7</f>
        <v>2.9027753513720302</v>
      </c>
      <c r="Z7" s="44">
        <f>J7</f>
        <v>1.6437974967246438</v>
      </c>
    </row>
    <row r="8" spans="1:26" x14ac:dyDescent="0.25">
      <c r="A8" s="15" t="s">
        <v>55</v>
      </c>
      <c r="B8" s="49">
        <v>2.0140242576599121</v>
      </c>
      <c r="C8" s="49">
        <v>3.8703932762145996</v>
      </c>
      <c r="D8" s="50">
        <v>5.8820176124572754</v>
      </c>
      <c r="E8" s="50">
        <v>5.9111237525939941</v>
      </c>
      <c r="F8" s="50">
        <v>1.4934788942337036</v>
      </c>
      <c r="G8" s="49">
        <v>1.3613388538360596</v>
      </c>
      <c r="H8" s="49">
        <v>5.6920566558837891</v>
      </c>
      <c r="I8" s="50">
        <v>3.970144510269165</v>
      </c>
      <c r="J8" s="50">
        <v>2.248232364654541</v>
      </c>
      <c r="K8" s="50">
        <v>6.1256327629089355</v>
      </c>
      <c r="L8" s="50">
        <v>2.8204150199890137</v>
      </c>
      <c r="M8" s="50">
        <v>2.5300095081329346</v>
      </c>
      <c r="N8" s="50">
        <v>2.3926138877868652</v>
      </c>
      <c r="O8" s="50">
        <v>2.5720639228820801</v>
      </c>
      <c r="P8" s="49">
        <v>6.382174015045166</v>
      </c>
      <c r="Q8" s="50">
        <v>5.0836682319641113</v>
      </c>
      <c r="R8" s="50">
        <v>4.1085629463195801</v>
      </c>
      <c r="S8" s="56">
        <v>3.6268060207366943</v>
      </c>
      <c r="W8" s="4" t="str">
        <f>K4</f>
        <v>ξ</v>
      </c>
      <c r="X8" s="44">
        <f>K7</f>
        <v>4.6217689758220324</v>
      </c>
      <c r="Y8" s="44">
        <f>L7</f>
        <v>2.2365169119197157</v>
      </c>
      <c r="Z8" s="44">
        <f>M7</f>
        <v>1.8500401966825679</v>
      </c>
    </row>
    <row r="9" spans="1:26" x14ac:dyDescent="0.25">
      <c r="W9" s="4" t="str">
        <f>N4</f>
        <v>Ψ</v>
      </c>
      <c r="X9" s="44">
        <f>N7</f>
        <v>2.2158552196198777</v>
      </c>
      <c r="Y9" s="44">
        <f>O7</f>
        <v>2.1047224364101642</v>
      </c>
      <c r="Z9" s="44">
        <f>P7</f>
        <v>4.387748428394274</v>
      </c>
    </row>
    <row r="10" spans="1:26" x14ac:dyDescent="0.25">
      <c r="W10" s="4" t="str">
        <f>Q4</f>
        <v>t</v>
      </c>
      <c r="X10" s="44">
        <f>Q7</f>
        <v>3.4534764118155334</v>
      </c>
      <c r="Y10" s="44">
        <f>R7</f>
        <v>2.7910602232862893</v>
      </c>
      <c r="Z10" s="44">
        <f>S7</f>
        <v>2.4637894493224937</v>
      </c>
    </row>
    <row r="11" spans="1:26" ht="18.75" x14ac:dyDescent="0.35">
      <c r="A11" s="24" t="s">
        <v>51</v>
      </c>
      <c r="B11" s="24" t="s">
        <v>31</v>
      </c>
      <c r="C11" s="24" t="s">
        <v>18</v>
      </c>
      <c r="D11" s="24" t="s">
        <v>30</v>
      </c>
      <c r="E11" s="37" t="s">
        <v>17</v>
      </c>
      <c r="F11" s="37" t="s">
        <v>58</v>
      </c>
      <c r="G11" s="37" t="s">
        <v>59</v>
      </c>
      <c r="H11" s="37" t="s">
        <v>56</v>
      </c>
      <c r="J11" s="57"/>
    </row>
    <row r="12" spans="1:26" x14ac:dyDescent="0.25">
      <c r="A12" s="2">
        <v>1</v>
      </c>
      <c r="B12" s="2">
        <v>0.1</v>
      </c>
      <c r="C12" s="2">
        <v>0.1</v>
      </c>
      <c r="D12" s="2">
        <v>0.7</v>
      </c>
      <c r="E12" s="2">
        <v>1</v>
      </c>
      <c r="F12" s="2">
        <v>0.1</v>
      </c>
      <c r="G12" s="39">
        <v>12.699999809265137</v>
      </c>
      <c r="H12">
        <v>2.1432785987854004</v>
      </c>
    </row>
    <row r="13" spans="1:26" x14ac:dyDescent="0.25">
      <c r="A13" s="2">
        <v>2</v>
      </c>
      <c r="B13" s="2">
        <v>0.1</v>
      </c>
      <c r="C13" s="2">
        <v>0.1</v>
      </c>
      <c r="D13" s="2">
        <v>0.7</v>
      </c>
      <c r="E13" s="2">
        <v>1</v>
      </c>
      <c r="F13" s="2">
        <v>0.1</v>
      </c>
      <c r="G13" s="39">
        <v>15.899999618530273</v>
      </c>
      <c r="H13">
        <v>1.7321732044219971</v>
      </c>
    </row>
    <row r="14" spans="1:26" x14ac:dyDescent="0.25">
      <c r="A14" s="2">
        <v>3</v>
      </c>
      <c r="B14" s="2">
        <v>0.1</v>
      </c>
      <c r="C14" s="2">
        <v>0.1</v>
      </c>
      <c r="D14" s="2">
        <v>0.7</v>
      </c>
      <c r="E14" s="2">
        <v>1</v>
      </c>
      <c r="F14" s="2">
        <v>0.1</v>
      </c>
      <c r="G14" s="39">
        <v>25.399999618530273</v>
      </c>
      <c r="H14">
        <v>1.5290641784667969</v>
      </c>
    </row>
    <row r="15" spans="1:26" x14ac:dyDescent="0.25">
      <c r="A15" s="2">
        <v>4</v>
      </c>
      <c r="B15" s="2">
        <v>0.1</v>
      </c>
      <c r="C15" s="2">
        <v>0.1</v>
      </c>
      <c r="D15" s="2">
        <v>0.7</v>
      </c>
      <c r="E15" s="2">
        <v>1</v>
      </c>
      <c r="F15" s="2">
        <v>0.3</v>
      </c>
      <c r="G15" s="39">
        <v>12.699999809265137</v>
      </c>
      <c r="H15">
        <v>5.3162884712219238</v>
      </c>
    </row>
    <row r="16" spans="1:26" x14ac:dyDescent="0.25">
      <c r="A16" s="2">
        <v>5</v>
      </c>
      <c r="B16" s="2">
        <v>0.1</v>
      </c>
      <c r="C16" s="2">
        <v>0.1</v>
      </c>
      <c r="D16" s="2">
        <v>0.7</v>
      </c>
      <c r="E16" s="2">
        <v>1</v>
      </c>
      <c r="F16" s="2">
        <v>0.3</v>
      </c>
      <c r="G16" s="39">
        <v>15.899999618530273</v>
      </c>
      <c r="H16">
        <v>4.2965636253356934</v>
      </c>
      <c r="K16" t="s">
        <v>61</v>
      </c>
    </row>
    <row r="17" spans="1:11" x14ac:dyDescent="0.25">
      <c r="A17" s="2">
        <v>6</v>
      </c>
      <c r="B17" s="2">
        <v>0.1</v>
      </c>
      <c r="C17" s="2">
        <v>0.1</v>
      </c>
      <c r="D17" s="2">
        <v>0.7</v>
      </c>
      <c r="E17" s="2">
        <v>1</v>
      </c>
      <c r="F17" s="2">
        <v>0.3</v>
      </c>
      <c r="G17" s="39">
        <v>25.399999618530273</v>
      </c>
      <c r="H17">
        <v>3.792762279510498</v>
      </c>
      <c r="K17">
        <f>MAX(H12:H740)</f>
        <v>45.594509124755859</v>
      </c>
    </row>
    <row r="18" spans="1:11" x14ac:dyDescent="0.25">
      <c r="A18" s="2">
        <v>7</v>
      </c>
      <c r="B18" s="2">
        <v>0.1</v>
      </c>
      <c r="C18" s="2">
        <v>0.1</v>
      </c>
      <c r="D18" s="2">
        <v>0.7</v>
      </c>
      <c r="E18" s="2">
        <v>1</v>
      </c>
      <c r="F18" s="2">
        <v>0.5</v>
      </c>
      <c r="G18" s="39">
        <v>12.699999809265137</v>
      </c>
      <c r="H18">
        <v>13.214591979980469</v>
      </c>
    </row>
    <row r="19" spans="1:11" x14ac:dyDescent="0.25">
      <c r="A19" s="2">
        <v>8</v>
      </c>
      <c r="B19" s="2">
        <v>0.1</v>
      </c>
      <c r="C19" s="2">
        <v>0.1</v>
      </c>
      <c r="D19" s="2">
        <v>0.7</v>
      </c>
      <c r="E19" s="2">
        <v>1</v>
      </c>
      <c r="F19" s="2">
        <v>0.5</v>
      </c>
      <c r="G19" s="39">
        <v>15.899999618530273</v>
      </c>
      <c r="H19">
        <v>10.679882049560547</v>
      </c>
    </row>
    <row r="20" spans="1:11" x14ac:dyDescent="0.25">
      <c r="A20" s="2">
        <v>9</v>
      </c>
      <c r="B20" s="2">
        <v>0.1</v>
      </c>
      <c r="C20" s="2">
        <v>0.1</v>
      </c>
      <c r="D20" s="2">
        <v>0.7</v>
      </c>
      <c r="E20" s="2">
        <v>1</v>
      </c>
      <c r="F20" s="2">
        <v>0.5</v>
      </c>
      <c r="G20" s="39">
        <v>25.399999618530273</v>
      </c>
      <c r="H20">
        <v>9.4275932312011719</v>
      </c>
    </row>
    <row r="21" spans="1:11" x14ac:dyDescent="0.25">
      <c r="A21" s="2">
        <v>10</v>
      </c>
      <c r="B21" s="2">
        <v>0.1</v>
      </c>
      <c r="C21" s="2">
        <v>0.1</v>
      </c>
      <c r="D21" s="2">
        <v>0.7</v>
      </c>
      <c r="E21" s="2">
        <v>5.5</v>
      </c>
      <c r="F21" s="2">
        <v>0.1</v>
      </c>
      <c r="G21" s="39">
        <v>12.699999809265137</v>
      </c>
      <c r="H21">
        <v>6.2142314910888672</v>
      </c>
    </row>
    <row r="22" spans="1:11" x14ac:dyDescent="0.25">
      <c r="A22" s="2">
        <v>11</v>
      </c>
      <c r="B22" s="2">
        <v>0.1</v>
      </c>
      <c r="C22" s="2">
        <v>0.1</v>
      </c>
      <c r="D22" s="2">
        <v>0.7</v>
      </c>
      <c r="E22" s="2">
        <v>5.5</v>
      </c>
      <c r="F22" s="2">
        <v>0.1</v>
      </c>
      <c r="G22" s="39">
        <v>15.899999618530273</v>
      </c>
      <c r="H22">
        <v>5.0222711563110352</v>
      </c>
    </row>
    <row r="23" spans="1:11" x14ac:dyDescent="0.25">
      <c r="A23" s="2">
        <v>12</v>
      </c>
      <c r="B23" s="2">
        <v>0.1</v>
      </c>
      <c r="C23" s="2">
        <v>0.1</v>
      </c>
      <c r="D23" s="2">
        <v>0.7</v>
      </c>
      <c r="E23" s="2">
        <v>5.5</v>
      </c>
      <c r="F23" s="2">
        <v>0.1</v>
      </c>
      <c r="G23" s="39">
        <v>25.399999618530273</v>
      </c>
      <c r="H23">
        <v>4.4333758354187012</v>
      </c>
    </row>
    <row r="24" spans="1:11" x14ac:dyDescent="0.25">
      <c r="A24" s="2">
        <v>13</v>
      </c>
      <c r="B24" s="2">
        <v>0.1</v>
      </c>
      <c r="C24" s="2">
        <v>0.1</v>
      </c>
      <c r="D24" s="2">
        <v>0.7</v>
      </c>
      <c r="E24" s="2">
        <v>5.5</v>
      </c>
      <c r="F24" s="2">
        <v>0.3</v>
      </c>
      <c r="G24" s="39">
        <v>12.699999809265137</v>
      </c>
      <c r="H24">
        <v>3.9960284233093262</v>
      </c>
    </row>
    <row r="25" spans="1:11" x14ac:dyDescent="0.25">
      <c r="A25" s="2">
        <v>14</v>
      </c>
      <c r="B25" s="2">
        <v>0.1</v>
      </c>
      <c r="C25" s="2">
        <v>0.1</v>
      </c>
      <c r="D25" s="2">
        <v>0.7</v>
      </c>
      <c r="E25" s="2">
        <v>5.5</v>
      </c>
      <c r="F25" s="2">
        <v>0.3</v>
      </c>
      <c r="G25" s="39">
        <v>15.899999618530273</v>
      </c>
      <c r="H25">
        <v>3.2295446395874023</v>
      </c>
    </row>
    <row r="26" spans="1:11" x14ac:dyDescent="0.25">
      <c r="A26" s="2">
        <v>15</v>
      </c>
      <c r="B26" s="2">
        <v>0.1</v>
      </c>
      <c r="C26" s="2">
        <v>0.1</v>
      </c>
      <c r="D26" s="2">
        <v>0.7</v>
      </c>
      <c r="E26" s="2">
        <v>5.5</v>
      </c>
      <c r="F26" s="2">
        <v>0.3</v>
      </c>
      <c r="G26" s="39">
        <v>25.399999618530273</v>
      </c>
      <c r="H26">
        <v>2.8508584499359131</v>
      </c>
    </row>
    <row r="27" spans="1:11" x14ac:dyDescent="0.25">
      <c r="A27" s="2">
        <v>16</v>
      </c>
      <c r="B27" s="2">
        <v>0.1</v>
      </c>
      <c r="C27" s="2">
        <v>0.1</v>
      </c>
      <c r="D27" s="2">
        <v>0.7</v>
      </c>
      <c r="E27" s="2">
        <v>5.5</v>
      </c>
      <c r="F27" s="2">
        <v>0.5</v>
      </c>
      <c r="G27" s="39">
        <v>12.699999809265137</v>
      </c>
      <c r="H27">
        <v>6.5904111862182617</v>
      </c>
    </row>
    <row r="28" spans="1:11" x14ac:dyDescent="0.25">
      <c r="A28" s="2">
        <v>17</v>
      </c>
      <c r="B28" s="2">
        <v>0.1</v>
      </c>
      <c r="C28" s="2">
        <v>0.1</v>
      </c>
      <c r="D28" s="2">
        <v>0.7</v>
      </c>
      <c r="E28" s="2">
        <v>5.5</v>
      </c>
      <c r="F28" s="2">
        <v>0.5</v>
      </c>
      <c r="G28" s="39">
        <v>15.899999618530273</v>
      </c>
      <c r="H28">
        <v>5.3262953758239746</v>
      </c>
    </row>
    <row r="29" spans="1:11" x14ac:dyDescent="0.25">
      <c r="A29" s="2">
        <v>18</v>
      </c>
      <c r="B29" s="2">
        <v>0.1</v>
      </c>
      <c r="C29" s="2">
        <v>0.1</v>
      </c>
      <c r="D29" s="2">
        <v>0.7</v>
      </c>
      <c r="E29" s="2">
        <v>5.5</v>
      </c>
      <c r="F29" s="2">
        <v>0.5</v>
      </c>
      <c r="G29" s="39">
        <v>25.399999618530273</v>
      </c>
      <c r="H29">
        <v>4.7017507553100586</v>
      </c>
    </row>
    <row r="30" spans="1:11" x14ac:dyDescent="0.25">
      <c r="A30" s="2">
        <v>19</v>
      </c>
      <c r="B30" s="2">
        <v>0.1</v>
      </c>
      <c r="C30" s="2">
        <v>0.1</v>
      </c>
      <c r="D30" s="2">
        <v>0.7</v>
      </c>
      <c r="E30" s="2">
        <v>10</v>
      </c>
      <c r="F30" s="2">
        <v>0.1</v>
      </c>
      <c r="G30" s="39">
        <v>12.699999809265137</v>
      </c>
      <c r="H30">
        <v>7.6828045845031738</v>
      </c>
    </row>
    <row r="31" spans="1:11" x14ac:dyDescent="0.25">
      <c r="A31" s="2">
        <v>20</v>
      </c>
      <c r="B31" s="2">
        <v>0.1</v>
      </c>
      <c r="C31" s="2">
        <v>0.1</v>
      </c>
      <c r="D31" s="2">
        <v>0.7</v>
      </c>
      <c r="E31" s="2">
        <v>10</v>
      </c>
      <c r="F31" s="2">
        <v>0.1</v>
      </c>
      <c r="G31" s="39">
        <v>15.899999618530273</v>
      </c>
      <c r="H31">
        <v>6.2091546058654785</v>
      </c>
    </row>
    <row r="32" spans="1:11" x14ac:dyDescent="0.25">
      <c r="A32" s="2">
        <v>21</v>
      </c>
      <c r="B32" s="2">
        <v>0.1</v>
      </c>
      <c r="C32" s="2">
        <v>0.1</v>
      </c>
      <c r="D32" s="2">
        <v>0.7</v>
      </c>
      <c r="E32" s="2">
        <v>10</v>
      </c>
      <c r="F32" s="2">
        <v>0.1</v>
      </c>
      <c r="G32" s="39">
        <v>25.399999618530273</v>
      </c>
      <c r="H32">
        <v>5.4810891151428223</v>
      </c>
    </row>
    <row r="33" spans="1:12" x14ac:dyDescent="0.25">
      <c r="A33" s="2">
        <v>22</v>
      </c>
      <c r="B33" s="2">
        <v>0.1</v>
      </c>
      <c r="C33" s="2">
        <v>0.1</v>
      </c>
      <c r="D33" s="2">
        <v>0.7</v>
      </c>
      <c r="E33" s="2">
        <v>10</v>
      </c>
      <c r="F33" s="2">
        <v>0.3</v>
      </c>
      <c r="G33" s="39">
        <v>12.699999809265137</v>
      </c>
      <c r="H33">
        <v>4.5640878677368164</v>
      </c>
    </row>
    <row r="34" spans="1:12" x14ac:dyDescent="0.25">
      <c r="A34" s="2">
        <v>23</v>
      </c>
      <c r="B34" s="2">
        <v>0.1</v>
      </c>
      <c r="C34" s="2">
        <v>0.1</v>
      </c>
      <c r="D34" s="2">
        <v>0.7</v>
      </c>
      <c r="E34" s="2">
        <v>10</v>
      </c>
      <c r="F34" s="2">
        <v>0.3</v>
      </c>
      <c r="G34" s="39">
        <v>15.899999618530273</v>
      </c>
      <c r="H34">
        <v>3.6886434555053711</v>
      </c>
    </row>
    <row r="35" spans="1:12" x14ac:dyDescent="0.25">
      <c r="A35" s="2">
        <v>24</v>
      </c>
      <c r="B35" s="2">
        <v>0.1</v>
      </c>
      <c r="C35" s="2">
        <v>0.1</v>
      </c>
      <c r="D35" s="2">
        <v>0.7</v>
      </c>
      <c r="E35" s="2">
        <v>10</v>
      </c>
      <c r="F35" s="2">
        <v>0.3</v>
      </c>
      <c r="G35" s="39">
        <v>25.399999618530273</v>
      </c>
      <c r="H35">
        <v>3.2561249732971191</v>
      </c>
    </row>
    <row r="36" spans="1:12" x14ac:dyDescent="0.25">
      <c r="A36" s="2">
        <v>25</v>
      </c>
      <c r="B36" s="2">
        <v>0.1</v>
      </c>
      <c r="C36" s="2">
        <v>0.1</v>
      </c>
      <c r="D36" s="2">
        <v>0.7</v>
      </c>
      <c r="E36" s="2">
        <v>10</v>
      </c>
      <c r="F36" s="2">
        <v>0.5</v>
      </c>
      <c r="G36" s="39">
        <v>12.699999809265137</v>
      </c>
      <c r="H36">
        <v>7.1023712158203125</v>
      </c>
    </row>
    <row r="37" spans="1:12" x14ac:dyDescent="0.25">
      <c r="A37" s="2">
        <v>26</v>
      </c>
      <c r="B37" s="2">
        <v>0.1</v>
      </c>
      <c r="C37" s="2">
        <v>0.1</v>
      </c>
      <c r="D37" s="2">
        <v>0.7</v>
      </c>
      <c r="E37" s="2">
        <v>10</v>
      </c>
      <c r="F37" s="2">
        <v>0.5</v>
      </c>
      <c r="G37" s="39">
        <v>15.899999618530273</v>
      </c>
      <c r="H37">
        <v>5.7400550842285156</v>
      </c>
    </row>
    <row r="38" spans="1:12" x14ac:dyDescent="0.25">
      <c r="A38" s="2">
        <v>27</v>
      </c>
      <c r="B38" s="2">
        <v>0.1</v>
      </c>
      <c r="C38" s="2">
        <v>0.1</v>
      </c>
      <c r="D38" s="2">
        <v>0.7</v>
      </c>
      <c r="E38" s="2">
        <v>10</v>
      </c>
      <c r="F38" s="2">
        <v>0.5</v>
      </c>
      <c r="G38" s="39">
        <v>25.399999618530273</v>
      </c>
      <c r="H38">
        <v>5.0669946670532227</v>
      </c>
    </row>
    <row r="39" spans="1:12" x14ac:dyDescent="0.25">
      <c r="A39" s="2">
        <v>28</v>
      </c>
      <c r="B39" s="2">
        <v>0.1</v>
      </c>
      <c r="C39" s="2">
        <v>0.1</v>
      </c>
      <c r="D39" s="2">
        <v>0.82499999999999996</v>
      </c>
      <c r="E39" s="2">
        <v>1</v>
      </c>
      <c r="F39" s="2">
        <v>0.1</v>
      </c>
      <c r="G39" s="39">
        <v>12.699999809265137</v>
      </c>
      <c r="H39">
        <v>1.4949122667312622</v>
      </c>
    </row>
    <row r="40" spans="1:12" x14ac:dyDescent="0.25">
      <c r="A40" s="2">
        <v>29</v>
      </c>
      <c r="B40" s="2">
        <v>0.1</v>
      </c>
      <c r="C40" s="2">
        <v>0.1</v>
      </c>
      <c r="D40" s="2">
        <v>0.82499999999999996</v>
      </c>
      <c r="E40" s="2">
        <v>1</v>
      </c>
      <c r="F40" s="2">
        <v>0.1</v>
      </c>
      <c r="G40" s="39">
        <v>15.899999618530273</v>
      </c>
      <c r="H40">
        <v>1.208171010017395</v>
      </c>
      <c r="K40" t="s">
        <v>91</v>
      </c>
      <c r="L40">
        <f>LN(1/8)</f>
        <v>-2.0794415416798357</v>
      </c>
    </row>
    <row r="41" spans="1:12" x14ac:dyDescent="0.25">
      <c r="A41" s="2">
        <v>30</v>
      </c>
      <c r="B41" s="2">
        <v>0.1</v>
      </c>
      <c r="C41" s="2">
        <v>0.1</v>
      </c>
      <c r="D41" s="2">
        <v>0.82499999999999996</v>
      </c>
      <c r="E41" s="2">
        <v>1</v>
      </c>
      <c r="F41" s="2">
        <v>0.1</v>
      </c>
      <c r="G41" s="39">
        <v>25.399999618530273</v>
      </c>
      <c r="H41">
        <v>1.0665048360824585</v>
      </c>
      <c r="L41">
        <f>LN(8)/(4*PI())</f>
        <v>0.1654767001144887</v>
      </c>
    </row>
    <row r="42" spans="1:12" x14ac:dyDescent="0.25">
      <c r="A42" s="2">
        <v>31</v>
      </c>
      <c r="B42" s="2">
        <v>0.1</v>
      </c>
      <c r="C42" s="2">
        <v>0.1</v>
      </c>
      <c r="D42" s="2">
        <v>0.82499999999999996</v>
      </c>
      <c r="E42" s="2">
        <v>1</v>
      </c>
      <c r="F42" s="2">
        <v>0.3</v>
      </c>
      <c r="G42" s="39">
        <v>12.699999809265137</v>
      </c>
      <c r="H42">
        <v>3.7080504894256592</v>
      </c>
      <c r="L42">
        <f>21.97*SQRT(1-0.165*0.165)</f>
        <v>21.668869663586513</v>
      </c>
    </row>
    <row r="43" spans="1:12" x14ac:dyDescent="0.25">
      <c r="A43" s="2">
        <v>32</v>
      </c>
      <c r="B43" s="2">
        <v>0.1</v>
      </c>
      <c r="C43" s="2">
        <v>0.1</v>
      </c>
      <c r="D43" s="2">
        <v>0.82499999999999996</v>
      </c>
      <c r="E43" s="2">
        <v>1</v>
      </c>
      <c r="F43" s="2">
        <v>0.3</v>
      </c>
      <c r="G43" s="39">
        <v>15.899999618530273</v>
      </c>
      <c r="H43">
        <v>2.9968039989471436</v>
      </c>
      <c r="K43" t="s">
        <v>92</v>
      </c>
      <c r="L43">
        <f>7*386/45</f>
        <v>60.044444444444444</v>
      </c>
    </row>
    <row r="44" spans="1:12" x14ac:dyDescent="0.25">
      <c r="A44" s="2">
        <v>33</v>
      </c>
      <c r="B44" s="2">
        <v>0.1</v>
      </c>
      <c r="C44" s="2">
        <v>0.1</v>
      </c>
      <c r="D44" s="2">
        <v>0.82499999999999996</v>
      </c>
      <c r="E44" s="2">
        <v>1</v>
      </c>
      <c r="F44" s="2">
        <v>0.3</v>
      </c>
      <c r="G44" s="39">
        <v>25.399999618530273</v>
      </c>
      <c r="H44">
        <v>2.6454083919525146</v>
      </c>
      <c r="K44">
        <f>64*PI()*PI()*60.04/386</f>
        <v>98.250121988212229</v>
      </c>
    </row>
    <row r="45" spans="1:12" x14ac:dyDescent="0.25">
      <c r="A45" s="2">
        <v>34</v>
      </c>
      <c r="B45" s="2">
        <v>0.1</v>
      </c>
      <c r="C45" s="2">
        <v>0.1</v>
      </c>
      <c r="D45" s="2">
        <v>0.82499999999999996</v>
      </c>
      <c r="E45" s="2">
        <v>1</v>
      </c>
      <c r="F45" s="2">
        <v>0.5</v>
      </c>
      <c r="G45" s="39">
        <v>12.699999809265137</v>
      </c>
      <c r="H45">
        <v>9.2170267105102539</v>
      </c>
      <c r="K45">
        <f>1200/704</f>
        <v>1.7045454545454546</v>
      </c>
      <c r="L45">
        <f>2*PI()/K45</f>
        <v>3.6861353802120238</v>
      </c>
    </row>
    <row r="46" spans="1:12" x14ac:dyDescent="0.25">
      <c r="A46" s="2">
        <v>35</v>
      </c>
      <c r="B46" s="2">
        <v>0.1</v>
      </c>
      <c r="C46" s="2">
        <v>0.1</v>
      </c>
      <c r="D46" s="2">
        <v>0.82499999999999996</v>
      </c>
      <c r="E46" s="2">
        <v>1</v>
      </c>
      <c r="F46" s="2">
        <v>0.5</v>
      </c>
      <c r="G46" s="39">
        <v>15.899999618530273</v>
      </c>
      <c r="H46">
        <v>7.4490957260131836</v>
      </c>
    </row>
    <row r="47" spans="1:12" x14ac:dyDescent="0.25">
      <c r="A47" s="2">
        <v>36</v>
      </c>
      <c r="B47" s="2">
        <v>0.1</v>
      </c>
      <c r="C47" s="2">
        <v>0.1</v>
      </c>
      <c r="D47" s="2">
        <v>0.82499999999999996</v>
      </c>
      <c r="E47" s="2">
        <v>1</v>
      </c>
      <c r="F47" s="2">
        <v>0.5</v>
      </c>
      <c r="G47" s="39">
        <v>25.399999618530273</v>
      </c>
      <c r="H47">
        <v>6.5756387710571289</v>
      </c>
    </row>
    <row r="48" spans="1:12" x14ac:dyDescent="0.25">
      <c r="A48" s="2">
        <v>37</v>
      </c>
      <c r="B48" s="2">
        <v>0.1</v>
      </c>
      <c r="C48" s="2">
        <v>0.1</v>
      </c>
      <c r="D48" s="2">
        <v>0.82499999999999996</v>
      </c>
      <c r="E48" s="2">
        <v>5.5</v>
      </c>
      <c r="F48" s="2">
        <v>0.1</v>
      </c>
      <c r="G48" s="39">
        <v>12.699999809265137</v>
      </c>
      <c r="H48">
        <v>4.3343558311462402</v>
      </c>
    </row>
    <row r="49" spans="1:8" x14ac:dyDescent="0.25">
      <c r="A49" s="2">
        <v>38</v>
      </c>
      <c r="B49" s="2">
        <v>0.1</v>
      </c>
      <c r="C49" s="2">
        <v>0.1</v>
      </c>
      <c r="D49" s="2">
        <v>0.82499999999999996</v>
      </c>
      <c r="E49" s="2">
        <v>5.5</v>
      </c>
      <c r="F49" s="2">
        <v>0.1</v>
      </c>
      <c r="G49" s="39">
        <v>15.899999618530273</v>
      </c>
      <c r="H49">
        <v>3.502976655960083</v>
      </c>
    </row>
    <row r="50" spans="1:8" x14ac:dyDescent="0.25">
      <c r="A50" s="2">
        <v>39</v>
      </c>
      <c r="B50" s="2">
        <v>0.1</v>
      </c>
      <c r="C50" s="2">
        <v>0.1</v>
      </c>
      <c r="D50" s="2">
        <v>0.82499999999999996</v>
      </c>
      <c r="E50" s="2">
        <v>5.5</v>
      </c>
      <c r="F50" s="2">
        <v>0.1</v>
      </c>
      <c r="G50" s="39">
        <v>25.399999618530273</v>
      </c>
      <c r="H50">
        <v>3.092228889465332</v>
      </c>
    </row>
    <row r="51" spans="1:8" x14ac:dyDescent="0.25">
      <c r="A51" s="2">
        <v>40</v>
      </c>
      <c r="B51" s="2">
        <v>0.1</v>
      </c>
      <c r="C51" s="2">
        <v>0.1</v>
      </c>
      <c r="D51" s="2">
        <v>0.82499999999999996</v>
      </c>
      <c r="E51" s="2">
        <v>5.5</v>
      </c>
      <c r="F51" s="2">
        <v>0.3</v>
      </c>
      <c r="G51" s="39">
        <v>12.699999809265137</v>
      </c>
      <c r="H51">
        <v>2.7871842384338379</v>
      </c>
    </row>
    <row r="52" spans="1:8" x14ac:dyDescent="0.25">
      <c r="A52" s="2">
        <v>41</v>
      </c>
      <c r="B52" s="2">
        <v>0.1</v>
      </c>
      <c r="C52" s="2">
        <v>0.1</v>
      </c>
      <c r="D52" s="2">
        <v>0.82499999999999996</v>
      </c>
      <c r="E52" s="2">
        <v>5.5</v>
      </c>
      <c r="F52" s="2">
        <v>0.3</v>
      </c>
      <c r="G52" s="39">
        <v>15.899999618530273</v>
      </c>
      <c r="H52">
        <v>2.252570629119873</v>
      </c>
    </row>
    <row r="53" spans="1:8" x14ac:dyDescent="0.25">
      <c r="A53" s="2">
        <v>42</v>
      </c>
      <c r="B53" s="2">
        <v>0.1</v>
      </c>
      <c r="C53" s="2">
        <v>0.1</v>
      </c>
      <c r="D53" s="2">
        <v>0.82499999999999996</v>
      </c>
      <c r="E53" s="2">
        <v>5.5</v>
      </c>
      <c r="F53" s="2">
        <v>0.3</v>
      </c>
      <c r="G53" s="39">
        <v>25.399999618530273</v>
      </c>
      <c r="H53">
        <v>1.9884413480758667</v>
      </c>
    </row>
    <row r="54" spans="1:8" x14ac:dyDescent="0.25">
      <c r="A54" s="2">
        <v>43</v>
      </c>
      <c r="B54" s="2">
        <v>0.1</v>
      </c>
      <c r="C54" s="2">
        <v>0.1</v>
      </c>
      <c r="D54" s="2">
        <v>0.82499999999999996</v>
      </c>
      <c r="E54" s="2">
        <v>5.5</v>
      </c>
      <c r="F54" s="2">
        <v>0.5</v>
      </c>
      <c r="G54" s="39">
        <v>12.699999809265137</v>
      </c>
      <c r="H54">
        <v>4.5967364311218262</v>
      </c>
    </row>
    <row r="55" spans="1:8" x14ac:dyDescent="0.25">
      <c r="A55" s="2">
        <v>44</v>
      </c>
      <c r="B55" s="2">
        <v>0.1</v>
      </c>
      <c r="C55" s="2">
        <v>0.1</v>
      </c>
      <c r="D55" s="2">
        <v>0.82499999999999996</v>
      </c>
      <c r="E55" s="2">
        <v>5.5</v>
      </c>
      <c r="F55" s="2">
        <v>0.5</v>
      </c>
      <c r="G55" s="39">
        <v>15.899999618530273</v>
      </c>
      <c r="H55">
        <v>3.7150299549102783</v>
      </c>
    </row>
    <row r="56" spans="1:8" x14ac:dyDescent="0.25">
      <c r="A56" s="2">
        <v>45</v>
      </c>
      <c r="B56" s="2">
        <v>0.1</v>
      </c>
      <c r="C56" s="2">
        <v>0.1</v>
      </c>
      <c r="D56" s="2">
        <v>0.82499999999999996</v>
      </c>
      <c r="E56" s="2">
        <v>5.5</v>
      </c>
      <c r="F56" s="2">
        <v>0.5</v>
      </c>
      <c r="G56" s="39">
        <v>25.399999618530273</v>
      </c>
      <c r="H56">
        <v>3.2794175148010254</v>
      </c>
    </row>
    <row r="57" spans="1:8" x14ac:dyDescent="0.25">
      <c r="A57" s="2">
        <v>46</v>
      </c>
      <c r="B57" s="2">
        <v>0.1</v>
      </c>
      <c r="C57" s="2">
        <v>0.1</v>
      </c>
      <c r="D57" s="2">
        <v>0.82499999999999996</v>
      </c>
      <c r="E57" s="2">
        <v>10</v>
      </c>
      <c r="F57" s="2">
        <v>0.1</v>
      </c>
      <c r="G57" s="39">
        <v>12.699999809265137</v>
      </c>
      <c r="H57">
        <v>5.358668327331543</v>
      </c>
    </row>
    <row r="58" spans="1:8" x14ac:dyDescent="0.25">
      <c r="A58" s="2">
        <v>47</v>
      </c>
      <c r="B58" s="2">
        <v>0.1</v>
      </c>
      <c r="C58" s="2">
        <v>0.1</v>
      </c>
      <c r="D58" s="2">
        <v>0.82499999999999996</v>
      </c>
      <c r="E58" s="2">
        <v>10</v>
      </c>
      <c r="F58" s="2">
        <v>0.1</v>
      </c>
      <c r="G58" s="39">
        <v>15.899999618530273</v>
      </c>
      <c r="H58">
        <v>4.3308148384094238</v>
      </c>
    </row>
    <row r="59" spans="1:8" x14ac:dyDescent="0.25">
      <c r="A59" s="2">
        <v>48</v>
      </c>
      <c r="B59" s="2">
        <v>0.1</v>
      </c>
      <c r="C59" s="2">
        <v>0.1</v>
      </c>
      <c r="D59" s="2">
        <v>0.82499999999999996</v>
      </c>
      <c r="E59" s="2">
        <v>10</v>
      </c>
      <c r="F59" s="2">
        <v>0.1</v>
      </c>
      <c r="G59" s="39">
        <v>25.399999618530273</v>
      </c>
      <c r="H59">
        <v>3.8229970932006836</v>
      </c>
    </row>
    <row r="60" spans="1:8" x14ac:dyDescent="0.25">
      <c r="A60" s="2">
        <v>49</v>
      </c>
      <c r="B60" s="2">
        <v>0.1</v>
      </c>
      <c r="C60" s="2">
        <v>0.1</v>
      </c>
      <c r="D60" s="2">
        <v>0.82499999999999996</v>
      </c>
      <c r="E60" s="2">
        <v>10</v>
      </c>
      <c r="F60" s="2">
        <v>0.3</v>
      </c>
      <c r="G60" s="39">
        <v>12.699999809265137</v>
      </c>
      <c r="H60">
        <v>3.183398962020874</v>
      </c>
    </row>
    <row r="61" spans="1:8" x14ac:dyDescent="0.25">
      <c r="A61" s="2">
        <v>50</v>
      </c>
      <c r="B61" s="2">
        <v>0.1</v>
      </c>
      <c r="C61" s="2">
        <v>0.1</v>
      </c>
      <c r="D61" s="2">
        <v>0.82499999999999996</v>
      </c>
      <c r="E61" s="2">
        <v>10</v>
      </c>
      <c r="F61" s="2">
        <v>0.3</v>
      </c>
      <c r="G61" s="39">
        <v>15.899999618530273</v>
      </c>
      <c r="H61">
        <v>2.572786808013916</v>
      </c>
    </row>
    <row r="62" spans="1:8" x14ac:dyDescent="0.25">
      <c r="A62" s="2">
        <v>51</v>
      </c>
      <c r="B62" s="2">
        <v>0.1</v>
      </c>
      <c r="C62" s="2">
        <v>0.1</v>
      </c>
      <c r="D62" s="2">
        <v>0.82499999999999996</v>
      </c>
      <c r="E62" s="2">
        <v>10</v>
      </c>
      <c r="F62" s="2">
        <v>0.3</v>
      </c>
      <c r="G62" s="39">
        <v>25.399999618530273</v>
      </c>
      <c r="H62">
        <v>2.2711100578308105</v>
      </c>
    </row>
    <row r="63" spans="1:8" x14ac:dyDescent="0.25">
      <c r="A63" s="2">
        <v>52</v>
      </c>
      <c r="B63" s="2">
        <v>0.1</v>
      </c>
      <c r="C63" s="2">
        <v>0.1</v>
      </c>
      <c r="D63" s="2">
        <v>0.82499999999999996</v>
      </c>
      <c r="E63" s="2">
        <v>10</v>
      </c>
      <c r="F63" s="2">
        <v>0.5</v>
      </c>
      <c r="G63" s="39">
        <v>12.699999809265137</v>
      </c>
      <c r="H63">
        <v>4.9538226127624512</v>
      </c>
    </row>
    <row r="64" spans="1:8" x14ac:dyDescent="0.25">
      <c r="A64" s="2">
        <v>53</v>
      </c>
      <c r="B64" s="2">
        <v>0.1</v>
      </c>
      <c r="C64" s="2">
        <v>0.1</v>
      </c>
      <c r="D64" s="2">
        <v>0.82499999999999996</v>
      </c>
      <c r="E64" s="2">
        <v>10</v>
      </c>
      <c r="F64" s="2">
        <v>0.5</v>
      </c>
      <c r="G64" s="39">
        <v>15.899999618530273</v>
      </c>
      <c r="H64">
        <v>4.0036230087280273</v>
      </c>
    </row>
    <row r="65" spans="1:8" x14ac:dyDescent="0.25">
      <c r="A65" s="2">
        <v>54</v>
      </c>
      <c r="B65" s="2">
        <v>0.1</v>
      </c>
      <c r="C65" s="2">
        <v>0.1</v>
      </c>
      <c r="D65" s="2">
        <v>0.82499999999999996</v>
      </c>
      <c r="E65" s="2">
        <v>10</v>
      </c>
      <c r="F65" s="2">
        <v>0.5</v>
      </c>
      <c r="G65" s="39">
        <v>25.399999618530273</v>
      </c>
      <c r="H65">
        <v>3.5341708660125732</v>
      </c>
    </row>
    <row r="66" spans="1:8" x14ac:dyDescent="0.25">
      <c r="A66" s="2">
        <v>55</v>
      </c>
      <c r="B66" s="2">
        <v>0.1</v>
      </c>
      <c r="C66" s="2">
        <v>0.1</v>
      </c>
      <c r="D66" s="2">
        <v>0.95</v>
      </c>
      <c r="E66" s="2">
        <v>1</v>
      </c>
      <c r="F66" s="2">
        <v>0.1</v>
      </c>
      <c r="G66" s="39">
        <v>12.699999809265137</v>
      </c>
      <c r="H66">
        <v>0.84654605388641357</v>
      </c>
    </row>
    <row r="67" spans="1:8" x14ac:dyDescent="0.25">
      <c r="A67" s="2">
        <v>56</v>
      </c>
      <c r="B67" s="2">
        <v>0.1</v>
      </c>
      <c r="C67" s="2">
        <v>0.1</v>
      </c>
      <c r="D67" s="2">
        <v>0.95</v>
      </c>
      <c r="E67" s="2">
        <v>1</v>
      </c>
      <c r="F67" s="2">
        <v>0.1</v>
      </c>
      <c r="G67" s="39">
        <v>15.899999618530273</v>
      </c>
      <c r="H67">
        <v>0.68416887521743774</v>
      </c>
    </row>
    <row r="68" spans="1:8" x14ac:dyDescent="0.25">
      <c r="A68" s="2">
        <v>57</v>
      </c>
      <c r="B68" s="2">
        <v>0.1</v>
      </c>
      <c r="C68" s="2">
        <v>0.1</v>
      </c>
      <c r="D68" s="2">
        <v>0.95</v>
      </c>
      <c r="E68" s="2">
        <v>1</v>
      </c>
      <c r="F68" s="2">
        <v>0.1</v>
      </c>
      <c r="G68" s="39">
        <v>25.399999618530273</v>
      </c>
      <c r="H68">
        <v>0.60394543409347534</v>
      </c>
    </row>
    <row r="69" spans="1:8" x14ac:dyDescent="0.25">
      <c r="A69" s="2">
        <v>58</v>
      </c>
      <c r="B69" s="2">
        <v>0.1</v>
      </c>
      <c r="C69" s="2">
        <v>0.1</v>
      </c>
      <c r="D69" s="2">
        <v>0.95</v>
      </c>
      <c r="E69" s="2">
        <v>1</v>
      </c>
      <c r="F69" s="2">
        <v>0.3</v>
      </c>
      <c r="G69" s="39">
        <v>12.699999809265137</v>
      </c>
      <c r="H69">
        <v>2.0998125076293945</v>
      </c>
    </row>
    <row r="70" spans="1:8" x14ac:dyDescent="0.25">
      <c r="A70" s="2">
        <v>59</v>
      </c>
      <c r="B70" s="2">
        <v>0.1</v>
      </c>
      <c r="C70" s="2">
        <v>0.1</v>
      </c>
      <c r="D70" s="2">
        <v>0.95</v>
      </c>
      <c r="E70" s="2">
        <v>1</v>
      </c>
      <c r="F70" s="2">
        <v>0.3</v>
      </c>
      <c r="G70" s="39">
        <v>15.899999618530273</v>
      </c>
      <c r="H70">
        <v>1.6970444917678833</v>
      </c>
    </row>
    <row r="71" spans="1:8" x14ac:dyDescent="0.25">
      <c r="A71" s="2">
        <v>60</v>
      </c>
      <c r="B71" s="2">
        <v>0.1</v>
      </c>
      <c r="C71" s="2">
        <v>0.1</v>
      </c>
      <c r="D71" s="2">
        <v>0.95</v>
      </c>
      <c r="E71" s="2">
        <v>1</v>
      </c>
      <c r="F71" s="2">
        <v>0.3</v>
      </c>
      <c r="G71" s="39">
        <v>25.399999618530273</v>
      </c>
      <c r="H71">
        <v>1.4980545043945313</v>
      </c>
    </row>
    <row r="72" spans="1:8" x14ac:dyDescent="0.25">
      <c r="A72" s="2">
        <v>61</v>
      </c>
      <c r="B72" s="2">
        <v>0.1</v>
      </c>
      <c r="C72" s="2">
        <v>0.1</v>
      </c>
      <c r="D72" s="2">
        <v>0.95</v>
      </c>
      <c r="E72" s="2">
        <v>1</v>
      </c>
      <c r="F72" s="2">
        <v>0.5</v>
      </c>
      <c r="G72" s="39">
        <v>12.699999809265137</v>
      </c>
      <c r="H72">
        <v>5.2194619178771973</v>
      </c>
    </row>
    <row r="73" spans="1:8" x14ac:dyDescent="0.25">
      <c r="A73" s="2">
        <v>62</v>
      </c>
      <c r="B73" s="2">
        <v>0.1</v>
      </c>
      <c r="C73" s="2">
        <v>0.1</v>
      </c>
      <c r="D73" s="2">
        <v>0.95</v>
      </c>
      <c r="E73" s="2">
        <v>1</v>
      </c>
      <c r="F73" s="2">
        <v>0.5</v>
      </c>
      <c r="G73" s="39">
        <v>15.899999618530273</v>
      </c>
      <c r="H73">
        <v>4.2183094024658203</v>
      </c>
    </row>
    <row r="74" spans="1:8" x14ac:dyDescent="0.25">
      <c r="A74" s="2">
        <v>63</v>
      </c>
      <c r="B74" s="2">
        <v>0.1</v>
      </c>
      <c r="C74" s="2">
        <v>0.1</v>
      </c>
      <c r="D74" s="2">
        <v>0.95</v>
      </c>
      <c r="E74" s="2">
        <v>1</v>
      </c>
      <c r="F74" s="2">
        <v>0.5</v>
      </c>
      <c r="G74" s="39">
        <v>25.399999618530273</v>
      </c>
      <c r="H74">
        <v>3.7236840724945068</v>
      </c>
    </row>
    <row r="75" spans="1:8" x14ac:dyDescent="0.25">
      <c r="A75" s="2">
        <v>64</v>
      </c>
      <c r="B75" s="2">
        <v>0.1</v>
      </c>
      <c r="C75" s="2">
        <v>0.1</v>
      </c>
      <c r="D75" s="2">
        <v>0.95</v>
      </c>
      <c r="E75" s="2">
        <v>5.5</v>
      </c>
      <c r="F75" s="2">
        <v>0.1</v>
      </c>
      <c r="G75" s="39">
        <v>12.699999809265137</v>
      </c>
      <c r="H75">
        <v>2.4544796943664551</v>
      </c>
    </row>
    <row r="76" spans="1:8" x14ac:dyDescent="0.25">
      <c r="A76" s="2">
        <v>65</v>
      </c>
      <c r="B76" s="2">
        <v>0.1</v>
      </c>
      <c r="C76" s="2">
        <v>0.1</v>
      </c>
      <c r="D76" s="2">
        <v>0.95</v>
      </c>
      <c r="E76" s="2">
        <v>5.5</v>
      </c>
      <c r="F76" s="2">
        <v>0.1</v>
      </c>
      <c r="G76" s="39">
        <v>15.899999618530273</v>
      </c>
      <c r="H76">
        <v>1.98368239402771</v>
      </c>
    </row>
    <row r="77" spans="1:8" x14ac:dyDescent="0.25">
      <c r="A77" s="2">
        <v>66</v>
      </c>
      <c r="B77" s="2">
        <v>0.1</v>
      </c>
      <c r="C77" s="2">
        <v>0.1</v>
      </c>
      <c r="D77" s="2">
        <v>0.95</v>
      </c>
      <c r="E77" s="2">
        <v>5.5</v>
      </c>
      <c r="F77" s="2">
        <v>0.1</v>
      </c>
      <c r="G77" s="39">
        <v>25.399999618530273</v>
      </c>
      <c r="H77">
        <v>1.751082181930542</v>
      </c>
    </row>
    <row r="78" spans="1:8" x14ac:dyDescent="0.25">
      <c r="A78" s="2">
        <v>67</v>
      </c>
      <c r="B78" s="2">
        <v>0.1</v>
      </c>
      <c r="C78" s="2">
        <v>0.1</v>
      </c>
      <c r="D78" s="2">
        <v>0.95</v>
      </c>
      <c r="E78" s="2">
        <v>5.5</v>
      </c>
      <c r="F78" s="2">
        <v>0.3</v>
      </c>
      <c r="G78" s="39">
        <v>12.699999809265137</v>
      </c>
      <c r="H78">
        <v>1.5783400535583496</v>
      </c>
    </row>
    <row r="79" spans="1:8" x14ac:dyDescent="0.25">
      <c r="A79" s="2">
        <v>68</v>
      </c>
      <c r="B79" s="2">
        <v>0.1</v>
      </c>
      <c r="C79" s="2">
        <v>0.1</v>
      </c>
      <c r="D79" s="2">
        <v>0.95</v>
      </c>
      <c r="E79" s="2">
        <v>5.5</v>
      </c>
      <c r="F79" s="2">
        <v>0.3</v>
      </c>
      <c r="G79" s="39">
        <v>15.899999618530273</v>
      </c>
      <c r="H79">
        <v>1.2755963802337646</v>
      </c>
    </row>
    <row r="80" spans="1:8" x14ac:dyDescent="0.25">
      <c r="A80" s="2">
        <v>69</v>
      </c>
      <c r="B80" s="2">
        <v>0.1</v>
      </c>
      <c r="C80" s="2">
        <v>0.1</v>
      </c>
      <c r="D80" s="2">
        <v>0.95</v>
      </c>
      <c r="E80" s="2">
        <v>5.5</v>
      </c>
      <c r="F80" s="2">
        <v>0.3</v>
      </c>
      <c r="G80" s="39">
        <v>25.399999618530273</v>
      </c>
      <c r="H80">
        <v>1.1260240077972412</v>
      </c>
    </row>
    <row r="81" spans="1:8" x14ac:dyDescent="0.25">
      <c r="A81" s="2">
        <v>70</v>
      </c>
      <c r="B81" s="2">
        <v>0.1</v>
      </c>
      <c r="C81" s="2">
        <v>0.1</v>
      </c>
      <c r="D81" s="2">
        <v>0.95</v>
      </c>
      <c r="E81" s="2">
        <v>5.5</v>
      </c>
      <c r="F81" s="2">
        <v>0.5</v>
      </c>
      <c r="G81" s="39">
        <v>12.699999809265137</v>
      </c>
      <c r="H81">
        <v>2.6030619144439697</v>
      </c>
    </row>
    <row r="82" spans="1:8" x14ac:dyDescent="0.25">
      <c r="A82" s="2">
        <v>71</v>
      </c>
      <c r="B82" s="2">
        <v>0.1</v>
      </c>
      <c r="C82" s="2">
        <v>0.1</v>
      </c>
      <c r="D82" s="2">
        <v>0.95</v>
      </c>
      <c r="E82" s="2">
        <v>5.5</v>
      </c>
      <c r="F82" s="2">
        <v>0.5</v>
      </c>
      <c r="G82" s="39">
        <v>15.899999618530273</v>
      </c>
      <c r="H82">
        <v>2.1037650108337402</v>
      </c>
    </row>
    <row r="83" spans="1:8" x14ac:dyDescent="0.25">
      <c r="A83" s="2">
        <v>72</v>
      </c>
      <c r="B83" s="2">
        <v>0.1</v>
      </c>
      <c r="C83" s="2">
        <v>0.1</v>
      </c>
      <c r="D83" s="2">
        <v>0.95</v>
      </c>
      <c r="E83" s="2">
        <v>5.5</v>
      </c>
      <c r="F83" s="2">
        <v>0.5</v>
      </c>
      <c r="G83" s="39">
        <v>25.399999618530273</v>
      </c>
      <c r="H83">
        <v>1.8570842742919922</v>
      </c>
    </row>
    <row r="84" spans="1:8" x14ac:dyDescent="0.25">
      <c r="A84" s="2">
        <v>73</v>
      </c>
      <c r="B84" s="2">
        <v>0.1</v>
      </c>
      <c r="C84" s="2">
        <v>0.1</v>
      </c>
      <c r="D84" s="2">
        <v>0.95</v>
      </c>
      <c r="E84" s="2">
        <v>10</v>
      </c>
      <c r="F84" s="2">
        <v>0.1</v>
      </c>
      <c r="G84" s="39">
        <v>12.699999809265137</v>
      </c>
      <c r="H84">
        <v>3.0345323085784912</v>
      </c>
    </row>
    <row r="85" spans="1:8" x14ac:dyDescent="0.25">
      <c r="A85" s="2">
        <v>74</v>
      </c>
      <c r="B85" s="2">
        <v>0.1</v>
      </c>
      <c r="C85" s="2">
        <v>0.1</v>
      </c>
      <c r="D85" s="2">
        <v>0.95</v>
      </c>
      <c r="E85" s="2">
        <v>10</v>
      </c>
      <c r="F85" s="2">
        <v>0.1</v>
      </c>
      <c r="G85" s="39">
        <v>15.899999618530273</v>
      </c>
      <c r="H85">
        <v>2.4524743556976318</v>
      </c>
    </row>
    <row r="86" spans="1:8" x14ac:dyDescent="0.25">
      <c r="A86" s="2">
        <v>75</v>
      </c>
      <c r="B86" s="2">
        <v>0.1</v>
      </c>
      <c r="C86" s="2">
        <v>0.1</v>
      </c>
      <c r="D86" s="2">
        <v>0.95</v>
      </c>
      <c r="E86" s="2">
        <v>10</v>
      </c>
      <c r="F86" s="2">
        <v>0.1</v>
      </c>
      <c r="G86" s="39">
        <v>25.399999618530273</v>
      </c>
      <c r="H86">
        <v>2.1649050712585449</v>
      </c>
    </row>
    <row r="87" spans="1:8" x14ac:dyDescent="0.25">
      <c r="A87" s="2">
        <v>76</v>
      </c>
      <c r="B87" s="2">
        <v>0.1</v>
      </c>
      <c r="C87" s="2">
        <v>0.1</v>
      </c>
      <c r="D87" s="2">
        <v>0.95</v>
      </c>
      <c r="E87" s="2">
        <v>10</v>
      </c>
      <c r="F87" s="2">
        <v>0.3</v>
      </c>
      <c r="G87" s="39">
        <v>12.699999809265137</v>
      </c>
      <c r="H87">
        <v>1.8027104139328003</v>
      </c>
    </row>
    <row r="88" spans="1:8" x14ac:dyDescent="0.25">
      <c r="A88" s="2">
        <v>77</v>
      </c>
      <c r="B88" s="2">
        <v>0.1</v>
      </c>
      <c r="C88" s="2">
        <v>0.1</v>
      </c>
      <c r="D88" s="2">
        <v>0.95</v>
      </c>
      <c r="E88" s="2">
        <v>10</v>
      </c>
      <c r="F88" s="2">
        <v>0.3</v>
      </c>
      <c r="G88" s="39">
        <v>15.899999618530273</v>
      </c>
      <c r="H88">
        <v>1.4569300413131714</v>
      </c>
    </row>
    <row r="89" spans="1:8" x14ac:dyDescent="0.25">
      <c r="A89" s="2">
        <v>78</v>
      </c>
      <c r="B89" s="2">
        <v>0.1</v>
      </c>
      <c r="C89" s="2">
        <v>0.1</v>
      </c>
      <c r="D89" s="2">
        <v>0.95</v>
      </c>
      <c r="E89" s="2">
        <v>10</v>
      </c>
      <c r="F89" s="2">
        <v>0.3</v>
      </c>
      <c r="G89" s="39">
        <v>25.399999618530273</v>
      </c>
      <c r="H89">
        <v>1.2860950231552124</v>
      </c>
    </row>
    <row r="90" spans="1:8" x14ac:dyDescent="0.25">
      <c r="A90" s="2">
        <v>79</v>
      </c>
      <c r="B90" s="2">
        <v>0.1</v>
      </c>
      <c r="C90" s="2">
        <v>0.1</v>
      </c>
      <c r="D90" s="2">
        <v>0.95</v>
      </c>
      <c r="E90" s="2">
        <v>10</v>
      </c>
      <c r="F90" s="2">
        <v>0.5</v>
      </c>
      <c r="G90" s="39">
        <v>12.699999809265137</v>
      </c>
      <c r="H90">
        <v>2.805274486541748</v>
      </c>
    </row>
    <row r="91" spans="1:8" x14ac:dyDescent="0.25">
      <c r="A91" s="2">
        <v>80</v>
      </c>
      <c r="B91" s="2">
        <v>0.1</v>
      </c>
      <c r="C91" s="2">
        <v>0.1</v>
      </c>
      <c r="D91" s="2">
        <v>0.95</v>
      </c>
      <c r="E91" s="2">
        <v>10</v>
      </c>
      <c r="F91" s="2">
        <v>0.5</v>
      </c>
      <c r="G91" s="39">
        <v>15.899999618530273</v>
      </c>
      <c r="H91">
        <v>2.26719069480896</v>
      </c>
    </row>
    <row r="92" spans="1:8" x14ac:dyDescent="0.25">
      <c r="A92" s="2">
        <v>81</v>
      </c>
      <c r="B92" s="2">
        <v>0.1</v>
      </c>
      <c r="C92" s="2">
        <v>0.1</v>
      </c>
      <c r="D92" s="2">
        <v>0.95</v>
      </c>
      <c r="E92" s="2">
        <v>10</v>
      </c>
      <c r="F92" s="2">
        <v>0.5</v>
      </c>
      <c r="G92" s="39">
        <v>25.399999618530273</v>
      </c>
      <c r="H92">
        <v>2.0013473033905029</v>
      </c>
    </row>
    <row r="93" spans="1:8" x14ac:dyDescent="0.25">
      <c r="A93" s="2">
        <v>82</v>
      </c>
      <c r="B93" s="2">
        <v>0.1</v>
      </c>
      <c r="C93" s="2">
        <v>0.3</v>
      </c>
      <c r="D93" s="2">
        <v>0.7</v>
      </c>
      <c r="E93" s="2">
        <v>1</v>
      </c>
      <c r="F93" s="2">
        <v>0.1</v>
      </c>
      <c r="G93" s="39">
        <v>12.699999809265137</v>
      </c>
      <c r="H93">
        <v>1.8827543258666992</v>
      </c>
    </row>
    <row r="94" spans="1:8" x14ac:dyDescent="0.25">
      <c r="A94" s="2">
        <v>83</v>
      </c>
      <c r="B94" s="2">
        <v>0.1</v>
      </c>
      <c r="C94" s="2">
        <v>0.3</v>
      </c>
      <c r="D94" s="2">
        <v>0.7</v>
      </c>
      <c r="E94" s="2">
        <v>1</v>
      </c>
      <c r="F94" s="2">
        <v>0.1</v>
      </c>
      <c r="G94" s="39">
        <v>15.899999618530273</v>
      </c>
      <c r="H94">
        <v>1.5216206312179565</v>
      </c>
    </row>
    <row r="95" spans="1:8" x14ac:dyDescent="0.25">
      <c r="A95" s="2">
        <v>84</v>
      </c>
      <c r="B95" s="2">
        <v>0.1</v>
      </c>
      <c r="C95" s="2">
        <v>0.3</v>
      </c>
      <c r="D95" s="2">
        <v>0.7</v>
      </c>
      <c r="E95" s="2">
        <v>1</v>
      </c>
      <c r="F95" s="2">
        <v>0.1</v>
      </c>
      <c r="G95" s="39">
        <v>25.399999618530273</v>
      </c>
      <c r="H95">
        <v>1.3432002067565918</v>
      </c>
    </row>
    <row r="96" spans="1:8" x14ac:dyDescent="0.25">
      <c r="A96" s="2">
        <v>85</v>
      </c>
      <c r="B96" s="2">
        <v>0.1</v>
      </c>
      <c r="C96" s="2">
        <v>0.3</v>
      </c>
      <c r="D96" s="2">
        <v>0.7</v>
      </c>
      <c r="E96" s="2">
        <v>1</v>
      </c>
      <c r="F96" s="2">
        <v>0.3</v>
      </c>
      <c r="G96" s="39">
        <v>12.699999809265137</v>
      </c>
      <c r="H96">
        <v>1.7498234510421753</v>
      </c>
    </row>
    <row r="97" spans="1:8" x14ac:dyDescent="0.25">
      <c r="A97" s="2">
        <v>86</v>
      </c>
      <c r="B97" s="2">
        <v>0.1</v>
      </c>
      <c r="C97" s="2">
        <v>0.3</v>
      </c>
      <c r="D97" s="2">
        <v>0.7</v>
      </c>
      <c r="E97" s="2">
        <v>1</v>
      </c>
      <c r="F97" s="2">
        <v>0.3</v>
      </c>
      <c r="G97" s="39">
        <v>15.899999618530273</v>
      </c>
      <c r="H97">
        <v>1.4141874313354492</v>
      </c>
    </row>
    <row r="98" spans="1:8" x14ac:dyDescent="0.25">
      <c r="A98" s="2">
        <v>87</v>
      </c>
      <c r="B98" s="2">
        <v>0.1</v>
      </c>
      <c r="C98" s="2">
        <v>0.3</v>
      </c>
      <c r="D98" s="2">
        <v>0.7</v>
      </c>
      <c r="E98" s="2">
        <v>1</v>
      </c>
      <c r="F98" s="2">
        <v>0.3</v>
      </c>
      <c r="G98" s="39">
        <v>25.399999618530273</v>
      </c>
      <c r="H98">
        <v>1.2483643293380737</v>
      </c>
    </row>
    <row r="99" spans="1:8" x14ac:dyDescent="0.25">
      <c r="A99" s="2">
        <v>88</v>
      </c>
      <c r="B99" s="2">
        <v>0.1</v>
      </c>
      <c r="C99" s="2">
        <v>0.3</v>
      </c>
      <c r="D99" s="2">
        <v>0.7</v>
      </c>
      <c r="E99" s="2">
        <v>1</v>
      </c>
      <c r="F99" s="2">
        <v>0.5</v>
      </c>
      <c r="G99" s="39">
        <v>12.699999809265137</v>
      </c>
      <c r="H99">
        <v>3.4946484565734863</v>
      </c>
    </row>
    <row r="100" spans="1:8" x14ac:dyDescent="0.25">
      <c r="A100" s="2">
        <v>89</v>
      </c>
      <c r="B100" s="2">
        <v>0.1</v>
      </c>
      <c r="C100" s="2">
        <v>0.3</v>
      </c>
      <c r="D100" s="2">
        <v>0.7</v>
      </c>
      <c r="E100" s="2">
        <v>1</v>
      </c>
      <c r="F100" s="2">
        <v>0.5</v>
      </c>
      <c r="G100" s="39">
        <v>15.899999618530273</v>
      </c>
      <c r="H100">
        <v>2.8243348598480225</v>
      </c>
    </row>
    <row r="101" spans="1:8" x14ac:dyDescent="0.25">
      <c r="A101" s="2">
        <v>90</v>
      </c>
      <c r="B101" s="2">
        <v>0.1</v>
      </c>
      <c r="C101" s="2">
        <v>0.3</v>
      </c>
      <c r="D101" s="2">
        <v>0.7</v>
      </c>
      <c r="E101" s="2">
        <v>1</v>
      </c>
      <c r="F101" s="2">
        <v>0.5</v>
      </c>
      <c r="G101" s="39">
        <v>25.399999618530273</v>
      </c>
      <c r="H101">
        <v>2.4931623935699463</v>
      </c>
    </row>
    <row r="102" spans="1:8" x14ac:dyDescent="0.25">
      <c r="A102" s="2">
        <v>91</v>
      </c>
      <c r="B102" s="2">
        <v>0.1</v>
      </c>
      <c r="C102" s="2">
        <v>0.3</v>
      </c>
      <c r="D102" s="2">
        <v>0.7</v>
      </c>
      <c r="E102" s="2">
        <v>5.5</v>
      </c>
      <c r="F102" s="2">
        <v>0.1</v>
      </c>
      <c r="G102" s="39">
        <v>12.699999809265137</v>
      </c>
      <c r="H102">
        <v>1.073056697845459</v>
      </c>
    </row>
    <row r="103" spans="1:8" x14ac:dyDescent="0.25">
      <c r="A103" s="2">
        <v>92</v>
      </c>
      <c r="B103" s="2">
        <v>0.1</v>
      </c>
      <c r="C103" s="2">
        <v>0.3</v>
      </c>
      <c r="D103" s="2">
        <v>0.7</v>
      </c>
      <c r="E103" s="2">
        <v>5.5</v>
      </c>
      <c r="F103" s="2">
        <v>0.1</v>
      </c>
      <c r="G103" s="39">
        <v>15.899999618530273</v>
      </c>
      <c r="H103">
        <v>0.86723220348358154</v>
      </c>
    </row>
    <row r="104" spans="1:8" x14ac:dyDescent="0.25">
      <c r="A104" s="2">
        <v>93</v>
      </c>
      <c r="B104" s="2">
        <v>0.1</v>
      </c>
      <c r="C104" s="2">
        <v>0.3</v>
      </c>
      <c r="D104" s="2">
        <v>0.7</v>
      </c>
      <c r="E104" s="2">
        <v>5.5</v>
      </c>
      <c r="F104" s="2">
        <v>0.1</v>
      </c>
      <c r="G104" s="39">
        <v>25.399999618530273</v>
      </c>
      <c r="H104">
        <v>0.76554334163665771</v>
      </c>
    </row>
    <row r="105" spans="1:8" x14ac:dyDescent="0.25">
      <c r="A105" s="2">
        <v>94</v>
      </c>
      <c r="B105" s="2">
        <v>0.1</v>
      </c>
      <c r="C105" s="2">
        <v>0.3</v>
      </c>
      <c r="D105" s="2">
        <v>0.7</v>
      </c>
      <c r="E105" s="2">
        <v>5.5</v>
      </c>
      <c r="F105" s="2">
        <v>0.3</v>
      </c>
      <c r="G105" s="39">
        <v>12.699999809265137</v>
      </c>
      <c r="H105">
        <v>0.69736534357070923</v>
      </c>
    </row>
    <row r="106" spans="1:8" x14ac:dyDescent="0.25">
      <c r="A106" s="2">
        <v>95</v>
      </c>
      <c r="B106" s="2">
        <v>0.1</v>
      </c>
      <c r="C106" s="2">
        <v>0.3</v>
      </c>
      <c r="D106" s="2">
        <v>0.7</v>
      </c>
      <c r="E106" s="2">
        <v>5.5</v>
      </c>
      <c r="F106" s="2">
        <v>0.3</v>
      </c>
      <c r="G106" s="39">
        <v>15.899999618530273</v>
      </c>
      <c r="H106">
        <v>0.56360268592834473</v>
      </c>
    </row>
    <row r="107" spans="1:8" x14ac:dyDescent="0.25">
      <c r="A107" s="2">
        <v>96</v>
      </c>
      <c r="B107" s="2">
        <v>0.1</v>
      </c>
      <c r="C107" s="2">
        <v>0.3</v>
      </c>
      <c r="D107" s="2">
        <v>0.7</v>
      </c>
      <c r="E107" s="2">
        <v>5.5</v>
      </c>
      <c r="F107" s="2">
        <v>0.3</v>
      </c>
      <c r="G107" s="39">
        <v>25.399999618530273</v>
      </c>
      <c r="H107">
        <v>0.4975164532661438</v>
      </c>
    </row>
    <row r="108" spans="1:8" x14ac:dyDescent="0.25">
      <c r="A108" s="2">
        <v>97</v>
      </c>
      <c r="B108" s="2">
        <v>0.1</v>
      </c>
      <c r="C108" s="2">
        <v>0.3</v>
      </c>
      <c r="D108" s="2">
        <v>0.7</v>
      </c>
      <c r="E108" s="2">
        <v>5.5</v>
      </c>
      <c r="F108" s="2">
        <v>0.5</v>
      </c>
      <c r="G108" s="39">
        <v>12.699999809265137</v>
      </c>
      <c r="H108">
        <v>1.158413290977478</v>
      </c>
    </row>
    <row r="109" spans="1:8" x14ac:dyDescent="0.25">
      <c r="A109" s="2">
        <v>98</v>
      </c>
      <c r="B109" s="2">
        <v>0.1</v>
      </c>
      <c r="C109" s="2">
        <v>0.3</v>
      </c>
      <c r="D109" s="2">
        <v>0.7</v>
      </c>
      <c r="E109" s="2">
        <v>5.5</v>
      </c>
      <c r="F109" s="2">
        <v>0.5</v>
      </c>
      <c r="G109" s="39">
        <v>15.899999618530273</v>
      </c>
      <c r="H109">
        <v>0.93621641397476196</v>
      </c>
    </row>
    <row r="110" spans="1:8" x14ac:dyDescent="0.25">
      <c r="A110" s="2">
        <v>99</v>
      </c>
      <c r="B110" s="2">
        <v>0.1</v>
      </c>
      <c r="C110" s="2">
        <v>0.3</v>
      </c>
      <c r="D110" s="2">
        <v>0.7</v>
      </c>
      <c r="E110" s="2">
        <v>5.5</v>
      </c>
      <c r="F110" s="2">
        <v>0.5</v>
      </c>
      <c r="G110" s="39">
        <v>25.399999618530273</v>
      </c>
      <c r="H110">
        <v>0.82643866539001465</v>
      </c>
    </row>
    <row r="111" spans="1:8" x14ac:dyDescent="0.25">
      <c r="A111" s="2">
        <v>100</v>
      </c>
      <c r="B111" s="2">
        <v>0.1</v>
      </c>
      <c r="C111" s="2">
        <v>0.3</v>
      </c>
      <c r="D111" s="2">
        <v>0.7</v>
      </c>
      <c r="E111" s="2">
        <v>10</v>
      </c>
      <c r="F111" s="2">
        <v>0.1</v>
      </c>
      <c r="G111" s="39">
        <v>12.699999809265137</v>
      </c>
      <c r="H111">
        <v>0.85513192415237427</v>
      </c>
    </row>
    <row r="112" spans="1:8" x14ac:dyDescent="0.25">
      <c r="A112" s="2">
        <v>101</v>
      </c>
      <c r="B112" s="2">
        <v>0.1</v>
      </c>
      <c r="C112" s="2">
        <v>0.3</v>
      </c>
      <c r="D112" s="2">
        <v>0.7</v>
      </c>
      <c r="E112" s="2">
        <v>10</v>
      </c>
      <c r="F112" s="2">
        <v>0.1</v>
      </c>
      <c r="G112" s="39">
        <v>15.899999618530273</v>
      </c>
      <c r="H112">
        <v>0.69110786914825439</v>
      </c>
    </row>
    <row r="113" spans="1:8" x14ac:dyDescent="0.25">
      <c r="A113" s="2">
        <v>102</v>
      </c>
      <c r="B113" s="2">
        <v>0.1</v>
      </c>
      <c r="C113" s="2">
        <v>0.3</v>
      </c>
      <c r="D113" s="2">
        <v>0.7</v>
      </c>
      <c r="E113" s="2">
        <v>10</v>
      </c>
      <c r="F113" s="2">
        <v>0.1</v>
      </c>
      <c r="G113" s="39">
        <v>25.399999618530273</v>
      </c>
      <c r="H113">
        <v>0.61007076501846313</v>
      </c>
    </row>
    <row r="114" spans="1:8" x14ac:dyDescent="0.25">
      <c r="A114" s="2">
        <v>103</v>
      </c>
      <c r="B114" s="2">
        <v>0.1</v>
      </c>
      <c r="C114" s="2">
        <v>0.3</v>
      </c>
      <c r="D114" s="2">
        <v>0.7</v>
      </c>
      <c r="E114" s="2">
        <v>10</v>
      </c>
      <c r="F114" s="2">
        <v>0.3</v>
      </c>
      <c r="G114" s="39">
        <v>12.699999809265137</v>
      </c>
      <c r="H114">
        <v>0.54704749584197998</v>
      </c>
    </row>
    <row r="115" spans="1:8" x14ac:dyDescent="0.25">
      <c r="A115" s="2">
        <v>104</v>
      </c>
      <c r="B115" s="2">
        <v>0.1</v>
      </c>
      <c r="C115" s="2">
        <v>0.3</v>
      </c>
      <c r="D115" s="2">
        <v>0.7</v>
      </c>
      <c r="E115" s="2">
        <v>10</v>
      </c>
      <c r="F115" s="2">
        <v>0.3</v>
      </c>
      <c r="G115" s="39">
        <v>15.899999618530273</v>
      </c>
      <c r="H115">
        <v>0.44211751222610474</v>
      </c>
    </row>
    <row r="116" spans="1:8" x14ac:dyDescent="0.25">
      <c r="A116" s="2">
        <v>105</v>
      </c>
      <c r="B116" s="2">
        <v>0.1</v>
      </c>
      <c r="C116" s="2">
        <v>0.3</v>
      </c>
      <c r="D116" s="2">
        <v>0.7</v>
      </c>
      <c r="E116" s="2">
        <v>10</v>
      </c>
      <c r="F116" s="2">
        <v>0.3</v>
      </c>
      <c r="G116" s="39">
        <v>25.399999618530273</v>
      </c>
      <c r="H116">
        <v>0.3902762234210968</v>
      </c>
    </row>
    <row r="117" spans="1:8" x14ac:dyDescent="0.25">
      <c r="A117" s="2">
        <v>106</v>
      </c>
      <c r="B117" s="2">
        <v>0.1</v>
      </c>
      <c r="C117" s="2">
        <v>0.3</v>
      </c>
      <c r="D117" s="2">
        <v>0.7</v>
      </c>
      <c r="E117" s="2">
        <v>10</v>
      </c>
      <c r="F117" s="2">
        <v>0.5</v>
      </c>
      <c r="G117" s="39">
        <v>12.699999809265137</v>
      </c>
      <c r="H117">
        <v>0.8990052342414856</v>
      </c>
    </row>
    <row r="118" spans="1:8" x14ac:dyDescent="0.25">
      <c r="A118" s="2">
        <v>107</v>
      </c>
      <c r="B118" s="2">
        <v>0.1</v>
      </c>
      <c r="C118" s="2">
        <v>0.3</v>
      </c>
      <c r="D118" s="2">
        <v>0.7</v>
      </c>
      <c r="E118" s="2">
        <v>10</v>
      </c>
      <c r="F118" s="2">
        <v>0.5</v>
      </c>
      <c r="G118" s="39">
        <v>15.899999618530273</v>
      </c>
      <c r="H118">
        <v>0.72656577825546265</v>
      </c>
    </row>
    <row r="119" spans="1:8" x14ac:dyDescent="0.25">
      <c r="A119" s="2">
        <v>108</v>
      </c>
      <c r="B119" s="2">
        <v>0.1</v>
      </c>
      <c r="C119" s="2">
        <v>0.3</v>
      </c>
      <c r="D119" s="2">
        <v>0.7</v>
      </c>
      <c r="E119" s="2">
        <v>10</v>
      </c>
      <c r="F119" s="2">
        <v>0.5</v>
      </c>
      <c r="G119" s="39">
        <v>25.399999618530273</v>
      </c>
      <c r="H119">
        <v>0.64137101173400879</v>
      </c>
    </row>
    <row r="120" spans="1:8" x14ac:dyDescent="0.25">
      <c r="A120" s="2">
        <v>109</v>
      </c>
      <c r="B120" s="2">
        <v>0.1</v>
      </c>
      <c r="C120" s="2">
        <v>0.3</v>
      </c>
      <c r="D120" s="2">
        <v>0.82499999999999996</v>
      </c>
      <c r="E120" s="2">
        <v>1</v>
      </c>
      <c r="F120" s="2">
        <v>0.1</v>
      </c>
      <c r="G120" s="39">
        <v>12.699999809265137</v>
      </c>
      <c r="H120">
        <v>1.3131996393203735</v>
      </c>
    </row>
    <row r="121" spans="1:8" x14ac:dyDescent="0.25">
      <c r="A121" s="2">
        <v>110</v>
      </c>
      <c r="B121" s="2">
        <v>0.1</v>
      </c>
      <c r="C121" s="2">
        <v>0.3</v>
      </c>
      <c r="D121" s="2">
        <v>0.82499999999999996</v>
      </c>
      <c r="E121" s="2">
        <v>1</v>
      </c>
      <c r="F121" s="2">
        <v>0.1</v>
      </c>
      <c r="G121" s="39">
        <v>15.899999618530273</v>
      </c>
      <c r="H121">
        <v>1.0613130331039429</v>
      </c>
    </row>
    <row r="122" spans="1:8" x14ac:dyDescent="0.25">
      <c r="A122" s="2">
        <v>111</v>
      </c>
      <c r="B122" s="2">
        <v>0.1</v>
      </c>
      <c r="C122" s="2">
        <v>0.3</v>
      </c>
      <c r="D122" s="2">
        <v>0.82499999999999996</v>
      </c>
      <c r="E122" s="2">
        <v>1</v>
      </c>
      <c r="F122" s="2">
        <v>0.1</v>
      </c>
      <c r="G122" s="39">
        <v>25.399999618530273</v>
      </c>
      <c r="H122">
        <v>0.93686681985855103</v>
      </c>
    </row>
    <row r="123" spans="1:8" x14ac:dyDescent="0.25">
      <c r="A123" s="2">
        <v>112</v>
      </c>
      <c r="B123" s="2">
        <v>0.1</v>
      </c>
      <c r="C123" s="2">
        <v>0.3</v>
      </c>
      <c r="D123" s="2">
        <v>0.82499999999999996</v>
      </c>
      <c r="E123" s="2">
        <v>1</v>
      </c>
      <c r="F123" s="2">
        <v>0.3</v>
      </c>
      <c r="G123" s="39">
        <v>12.699999809265137</v>
      </c>
      <c r="H123">
        <v>1.2204818725585937</v>
      </c>
    </row>
    <row r="124" spans="1:8" x14ac:dyDescent="0.25">
      <c r="A124" s="2">
        <v>113</v>
      </c>
      <c r="B124" s="2">
        <v>0.1</v>
      </c>
      <c r="C124" s="2">
        <v>0.3</v>
      </c>
      <c r="D124" s="2">
        <v>0.82499999999999996</v>
      </c>
      <c r="E124" s="2">
        <v>1</v>
      </c>
      <c r="F124" s="2">
        <v>0.3</v>
      </c>
      <c r="G124" s="39">
        <v>15.899999618530273</v>
      </c>
      <c r="H124">
        <v>0.98637956380844116</v>
      </c>
    </row>
    <row r="125" spans="1:8" x14ac:dyDescent="0.25">
      <c r="A125" s="2">
        <v>114</v>
      </c>
      <c r="B125" s="2">
        <v>0.1</v>
      </c>
      <c r="C125" s="2">
        <v>0.3</v>
      </c>
      <c r="D125" s="2">
        <v>0.82499999999999996</v>
      </c>
      <c r="E125" s="2">
        <v>1</v>
      </c>
      <c r="F125" s="2">
        <v>0.3</v>
      </c>
      <c r="G125" s="39">
        <v>25.399999618530273</v>
      </c>
      <c r="H125">
        <v>0.87071985006332397</v>
      </c>
    </row>
    <row r="126" spans="1:8" x14ac:dyDescent="0.25">
      <c r="A126" s="2">
        <v>115</v>
      </c>
      <c r="B126" s="2">
        <v>0.1</v>
      </c>
      <c r="C126" s="2">
        <v>0.3</v>
      </c>
      <c r="D126" s="2">
        <v>0.82499999999999996</v>
      </c>
      <c r="E126" s="2">
        <v>1</v>
      </c>
      <c r="F126" s="2">
        <v>0.5</v>
      </c>
      <c r="G126" s="39">
        <v>12.699999809265137</v>
      </c>
      <c r="H126">
        <v>2.4374773502349854</v>
      </c>
    </row>
    <row r="127" spans="1:8" x14ac:dyDescent="0.25">
      <c r="A127" s="2">
        <v>116</v>
      </c>
      <c r="B127" s="2">
        <v>0.1</v>
      </c>
      <c r="C127" s="2">
        <v>0.3</v>
      </c>
      <c r="D127" s="2">
        <v>0.82499999999999996</v>
      </c>
      <c r="E127" s="2">
        <v>1</v>
      </c>
      <c r="F127" s="2">
        <v>0.5</v>
      </c>
      <c r="G127" s="39">
        <v>15.899999618530273</v>
      </c>
      <c r="H127">
        <v>1.9699413776397705</v>
      </c>
    </row>
    <row r="128" spans="1:8" x14ac:dyDescent="0.25">
      <c r="A128" s="2">
        <v>117</v>
      </c>
      <c r="B128" s="2">
        <v>0.1</v>
      </c>
      <c r="C128" s="2">
        <v>0.3</v>
      </c>
      <c r="D128" s="2">
        <v>0.82499999999999996</v>
      </c>
      <c r="E128" s="2">
        <v>1</v>
      </c>
      <c r="F128" s="2">
        <v>0.5</v>
      </c>
      <c r="G128" s="39">
        <v>25.399999618530273</v>
      </c>
      <c r="H128">
        <v>1.7389523983001709</v>
      </c>
    </row>
    <row r="129" spans="1:8" x14ac:dyDescent="0.25">
      <c r="A129" s="2">
        <v>118</v>
      </c>
      <c r="B129" s="2">
        <v>0.1</v>
      </c>
      <c r="C129" s="2">
        <v>0.3</v>
      </c>
      <c r="D129" s="2">
        <v>0.82499999999999996</v>
      </c>
      <c r="E129" s="2">
        <v>5.5</v>
      </c>
      <c r="F129" s="2">
        <v>0.1</v>
      </c>
      <c r="G129" s="39">
        <v>12.699999809265137</v>
      </c>
      <c r="H129">
        <v>0.74844479560852051</v>
      </c>
    </row>
    <row r="130" spans="1:8" x14ac:dyDescent="0.25">
      <c r="A130" s="2">
        <v>119</v>
      </c>
      <c r="B130" s="2">
        <v>0.1</v>
      </c>
      <c r="C130" s="2">
        <v>0.3</v>
      </c>
      <c r="D130" s="2">
        <v>0.82499999999999996</v>
      </c>
      <c r="E130" s="2">
        <v>5.5</v>
      </c>
      <c r="F130" s="2">
        <v>0.1</v>
      </c>
      <c r="G130" s="39">
        <v>15.899999618530273</v>
      </c>
      <c r="H130">
        <v>0.6048845648765564</v>
      </c>
    </row>
    <row r="131" spans="1:8" x14ac:dyDescent="0.25">
      <c r="A131" s="2">
        <v>120</v>
      </c>
      <c r="B131" s="2">
        <v>0.1</v>
      </c>
      <c r="C131" s="2">
        <v>0.3</v>
      </c>
      <c r="D131" s="2">
        <v>0.82499999999999996</v>
      </c>
      <c r="E131" s="2">
        <v>5.5</v>
      </c>
      <c r="F131" s="2">
        <v>0.1</v>
      </c>
      <c r="G131" s="39">
        <v>25.399999618530273</v>
      </c>
      <c r="H131">
        <v>0.53395771980285645</v>
      </c>
    </row>
    <row r="132" spans="1:8" x14ac:dyDescent="0.25">
      <c r="A132" s="2">
        <v>121</v>
      </c>
      <c r="B132" s="2">
        <v>0.1</v>
      </c>
      <c r="C132" s="2">
        <v>0.3</v>
      </c>
      <c r="D132" s="2">
        <v>0.82499999999999996</v>
      </c>
      <c r="E132" s="2">
        <v>5.5</v>
      </c>
      <c r="F132" s="2">
        <v>0.3</v>
      </c>
      <c r="G132" s="39">
        <v>12.699999809265137</v>
      </c>
      <c r="H132">
        <v>0.48640435934066772</v>
      </c>
    </row>
    <row r="133" spans="1:8" x14ac:dyDescent="0.25">
      <c r="A133" s="2">
        <v>122</v>
      </c>
      <c r="B133" s="2">
        <v>0.1</v>
      </c>
      <c r="C133" s="2">
        <v>0.3</v>
      </c>
      <c r="D133" s="2">
        <v>0.82499999999999996</v>
      </c>
      <c r="E133" s="2">
        <v>5.5</v>
      </c>
      <c r="F133" s="2">
        <v>0.3</v>
      </c>
      <c r="G133" s="39">
        <v>15.899999618530273</v>
      </c>
      <c r="H133">
        <v>0.39310646057128906</v>
      </c>
    </row>
    <row r="134" spans="1:8" x14ac:dyDescent="0.25">
      <c r="A134" s="2">
        <v>123</v>
      </c>
      <c r="B134" s="2">
        <v>0.1</v>
      </c>
      <c r="C134" s="2">
        <v>0.3</v>
      </c>
      <c r="D134" s="2">
        <v>0.82499999999999996</v>
      </c>
      <c r="E134" s="2">
        <v>5.5</v>
      </c>
      <c r="F134" s="2">
        <v>0.3</v>
      </c>
      <c r="G134" s="39">
        <v>25.399999618530273</v>
      </c>
      <c r="H134">
        <v>0.34701204299926758</v>
      </c>
    </row>
    <row r="135" spans="1:8" x14ac:dyDescent="0.25">
      <c r="A135" s="2">
        <v>124</v>
      </c>
      <c r="B135" s="2">
        <v>0.1</v>
      </c>
      <c r="C135" s="2">
        <v>0.3</v>
      </c>
      <c r="D135" s="2">
        <v>0.82499999999999996</v>
      </c>
      <c r="E135" s="2">
        <v>5.5</v>
      </c>
      <c r="F135" s="2">
        <v>0.5</v>
      </c>
      <c r="G135" s="39">
        <v>12.699999809265137</v>
      </c>
      <c r="H135">
        <v>0.80798006057739258</v>
      </c>
    </row>
    <row r="136" spans="1:8" x14ac:dyDescent="0.25">
      <c r="A136" s="2">
        <v>125</v>
      </c>
      <c r="B136" s="2">
        <v>0.1</v>
      </c>
      <c r="C136" s="2">
        <v>0.3</v>
      </c>
      <c r="D136" s="2">
        <v>0.82499999999999996</v>
      </c>
      <c r="E136" s="2">
        <v>5.5</v>
      </c>
      <c r="F136" s="2">
        <v>0.5</v>
      </c>
      <c r="G136" s="39">
        <v>15.899999618530273</v>
      </c>
      <c r="H136">
        <v>0.65300023555755615</v>
      </c>
    </row>
    <row r="137" spans="1:8" x14ac:dyDescent="0.25">
      <c r="A137" s="2">
        <v>126</v>
      </c>
      <c r="B137" s="2">
        <v>0.1</v>
      </c>
      <c r="C137" s="2">
        <v>0.3</v>
      </c>
      <c r="D137" s="2">
        <v>0.82499999999999996</v>
      </c>
      <c r="E137" s="2">
        <v>5.5</v>
      </c>
      <c r="F137" s="2">
        <v>0.5</v>
      </c>
      <c r="G137" s="39">
        <v>25.399999618530273</v>
      </c>
      <c r="H137">
        <v>0.5764315128326416</v>
      </c>
    </row>
    <row r="138" spans="1:8" x14ac:dyDescent="0.25">
      <c r="A138" s="2">
        <v>127</v>
      </c>
      <c r="B138" s="2">
        <v>0.1</v>
      </c>
      <c r="C138" s="2">
        <v>0.3</v>
      </c>
      <c r="D138" s="2">
        <v>0.82499999999999996</v>
      </c>
      <c r="E138" s="2">
        <v>10</v>
      </c>
      <c r="F138" s="2">
        <v>0.1</v>
      </c>
      <c r="G138" s="39">
        <v>12.699999809265137</v>
      </c>
      <c r="H138">
        <v>0.59644478559494019</v>
      </c>
    </row>
    <row r="139" spans="1:8" x14ac:dyDescent="0.25">
      <c r="A139" s="2">
        <v>128</v>
      </c>
      <c r="B139" s="2">
        <v>0.1</v>
      </c>
      <c r="C139" s="2">
        <v>0.3</v>
      </c>
      <c r="D139" s="2">
        <v>0.82499999999999996</v>
      </c>
      <c r="E139" s="2">
        <v>10</v>
      </c>
      <c r="F139" s="2">
        <v>0.1</v>
      </c>
      <c r="G139" s="39">
        <v>15.899999618530273</v>
      </c>
      <c r="H139">
        <v>0.48203986883163452</v>
      </c>
    </row>
    <row r="140" spans="1:8" x14ac:dyDescent="0.25">
      <c r="A140" s="2">
        <v>129</v>
      </c>
      <c r="B140" s="2">
        <v>0.1</v>
      </c>
      <c r="C140" s="2">
        <v>0.3</v>
      </c>
      <c r="D140" s="2">
        <v>0.82499999999999996</v>
      </c>
      <c r="E140" s="2">
        <v>10</v>
      </c>
      <c r="F140" s="2">
        <v>0.1</v>
      </c>
      <c r="G140" s="39">
        <v>25.399999618530273</v>
      </c>
      <c r="H140">
        <v>0.42551741003990173</v>
      </c>
    </row>
    <row r="141" spans="1:8" x14ac:dyDescent="0.25">
      <c r="A141" s="2">
        <v>130</v>
      </c>
      <c r="B141" s="2">
        <v>0.1</v>
      </c>
      <c r="C141" s="2">
        <v>0.3</v>
      </c>
      <c r="D141" s="2">
        <v>0.82499999999999996</v>
      </c>
      <c r="E141" s="2">
        <v>10</v>
      </c>
      <c r="F141" s="2">
        <v>0.3</v>
      </c>
      <c r="G141" s="39">
        <v>12.699999809265137</v>
      </c>
      <c r="H141">
        <v>0.38155937194824219</v>
      </c>
    </row>
    <row r="142" spans="1:8" x14ac:dyDescent="0.25">
      <c r="A142" s="2">
        <v>131</v>
      </c>
      <c r="B142" s="2">
        <v>0.1</v>
      </c>
      <c r="C142" s="2">
        <v>0.3</v>
      </c>
      <c r="D142" s="2">
        <v>0.82499999999999996</v>
      </c>
      <c r="E142" s="2">
        <v>10</v>
      </c>
      <c r="F142" s="2">
        <v>0.3</v>
      </c>
      <c r="G142" s="39">
        <v>15.899999618530273</v>
      </c>
      <c r="H142">
        <v>0.30837193131446838</v>
      </c>
    </row>
    <row r="143" spans="1:8" x14ac:dyDescent="0.25">
      <c r="A143" s="2">
        <v>132</v>
      </c>
      <c r="B143" s="2">
        <v>0.1</v>
      </c>
      <c r="C143" s="2">
        <v>0.3</v>
      </c>
      <c r="D143" s="2">
        <v>0.82499999999999996</v>
      </c>
      <c r="E143" s="2">
        <v>10</v>
      </c>
      <c r="F143" s="2">
        <v>0.3</v>
      </c>
      <c r="G143" s="39">
        <v>25.399999618530273</v>
      </c>
      <c r="H143">
        <v>0.27221322059631348</v>
      </c>
    </row>
    <row r="144" spans="1:8" x14ac:dyDescent="0.25">
      <c r="A144" s="2">
        <v>133</v>
      </c>
      <c r="B144" s="2">
        <v>0.1</v>
      </c>
      <c r="C144" s="2">
        <v>0.3</v>
      </c>
      <c r="D144" s="2">
        <v>0.82499999999999996</v>
      </c>
      <c r="E144" s="2">
        <v>10</v>
      </c>
      <c r="F144" s="2">
        <v>0.5</v>
      </c>
      <c r="G144" s="39">
        <v>12.699999809265137</v>
      </c>
      <c r="H144">
        <v>0.62704586982727051</v>
      </c>
    </row>
    <row r="145" spans="1:8" x14ac:dyDescent="0.25">
      <c r="A145" s="2">
        <v>134</v>
      </c>
      <c r="B145" s="2">
        <v>0.1</v>
      </c>
      <c r="C145" s="2">
        <v>0.3</v>
      </c>
      <c r="D145" s="2">
        <v>0.82499999999999996</v>
      </c>
      <c r="E145" s="2">
        <v>10</v>
      </c>
      <c r="F145" s="2">
        <v>0.5</v>
      </c>
      <c r="G145" s="39">
        <v>15.899999618530273</v>
      </c>
      <c r="H145">
        <v>0.50677132606506348</v>
      </c>
    </row>
    <row r="146" spans="1:8" x14ac:dyDescent="0.25">
      <c r="A146" s="2">
        <v>135</v>
      </c>
      <c r="B146" s="2">
        <v>0.1</v>
      </c>
      <c r="C146" s="2">
        <v>0.3</v>
      </c>
      <c r="D146" s="2">
        <v>0.82499999999999996</v>
      </c>
      <c r="E146" s="2">
        <v>10</v>
      </c>
      <c r="F146" s="2">
        <v>0.5</v>
      </c>
      <c r="G146" s="39">
        <v>25.399999618530273</v>
      </c>
      <c r="H146">
        <v>0.447348952293396</v>
      </c>
    </row>
    <row r="147" spans="1:8" x14ac:dyDescent="0.25">
      <c r="A147" s="2">
        <v>136</v>
      </c>
      <c r="B147" s="2">
        <v>0.1</v>
      </c>
      <c r="C147" s="2">
        <v>0.3</v>
      </c>
      <c r="D147" s="2">
        <v>0.95</v>
      </c>
      <c r="E147" s="2">
        <v>1</v>
      </c>
      <c r="F147" s="2">
        <v>0.1</v>
      </c>
      <c r="G147" s="39">
        <v>12.699999809265137</v>
      </c>
      <c r="H147">
        <v>0.74364501237869263</v>
      </c>
    </row>
    <row r="148" spans="1:8" x14ac:dyDescent="0.25">
      <c r="A148" s="2">
        <v>137</v>
      </c>
      <c r="B148" s="2">
        <v>0.1</v>
      </c>
      <c r="C148" s="2">
        <v>0.3</v>
      </c>
      <c r="D148" s="2">
        <v>0.95</v>
      </c>
      <c r="E148" s="2">
        <v>1</v>
      </c>
      <c r="F148" s="2">
        <v>0.1</v>
      </c>
      <c r="G148" s="39">
        <v>15.899999618530273</v>
      </c>
      <c r="H148">
        <v>0.60100537538528442</v>
      </c>
    </row>
    <row r="149" spans="1:8" x14ac:dyDescent="0.25">
      <c r="A149" s="2">
        <v>138</v>
      </c>
      <c r="B149" s="2">
        <v>0.1</v>
      </c>
      <c r="C149" s="2">
        <v>0.3</v>
      </c>
      <c r="D149" s="2">
        <v>0.95</v>
      </c>
      <c r="E149" s="2">
        <v>1</v>
      </c>
      <c r="F149" s="2">
        <v>0.1</v>
      </c>
      <c r="G149" s="39">
        <v>25.399999618530273</v>
      </c>
      <c r="H149">
        <v>0.53053343296051025</v>
      </c>
    </row>
    <row r="150" spans="1:8" x14ac:dyDescent="0.25">
      <c r="A150" s="2">
        <v>139</v>
      </c>
      <c r="B150" s="2">
        <v>0.1</v>
      </c>
      <c r="C150" s="2">
        <v>0.3</v>
      </c>
      <c r="D150" s="2">
        <v>0.95</v>
      </c>
      <c r="E150" s="2">
        <v>1</v>
      </c>
      <c r="F150" s="2">
        <v>0.3</v>
      </c>
      <c r="G150" s="39">
        <v>12.699999809265137</v>
      </c>
      <c r="H150">
        <v>0.69114035367965698</v>
      </c>
    </row>
    <row r="151" spans="1:8" x14ac:dyDescent="0.25">
      <c r="A151" s="2">
        <v>140</v>
      </c>
      <c r="B151" s="2">
        <v>0.1</v>
      </c>
      <c r="C151" s="2">
        <v>0.3</v>
      </c>
      <c r="D151" s="2">
        <v>0.95</v>
      </c>
      <c r="E151" s="2">
        <v>1</v>
      </c>
      <c r="F151" s="2">
        <v>0.3</v>
      </c>
      <c r="G151" s="39">
        <v>15.899999618530273</v>
      </c>
      <c r="H151">
        <v>0.55857175588607788</v>
      </c>
    </row>
    <row r="152" spans="1:8" x14ac:dyDescent="0.25">
      <c r="A152" s="2">
        <v>141</v>
      </c>
      <c r="B152" s="2">
        <v>0.1</v>
      </c>
      <c r="C152" s="2">
        <v>0.3</v>
      </c>
      <c r="D152" s="2">
        <v>0.95</v>
      </c>
      <c r="E152" s="2">
        <v>1</v>
      </c>
      <c r="F152" s="2">
        <v>0.3</v>
      </c>
      <c r="G152" s="39">
        <v>25.399999618530273</v>
      </c>
      <c r="H152">
        <v>0.49307540059089661</v>
      </c>
    </row>
    <row r="153" spans="1:8" x14ac:dyDescent="0.25">
      <c r="A153" s="2">
        <v>142</v>
      </c>
      <c r="B153" s="2">
        <v>0.1</v>
      </c>
      <c r="C153" s="2">
        <v>0.3</v>
      </c>
      <c r="D153" s="2">
        <v>0.95</v>
      </c>
      <c r="E153" s="2">
        <v>1</v>
      </c>
      <c r="F153" s="2">
        <v>0.5</v>
      </c>
      <c r="G153" s="39">
        <v>12.699999809265137</v>
      </c>
      <c r="H153">
        <v>1.3803063631057739</v>
      </c>
    </row>
    <row r="154" spans="1:8" x14ac:dyDescent="0.25">
      <c r="A154" s="2">
        <v>143</v>
      </c>
      <c r="B154" s="2">
        <v>0.1</v>
      </c>
      <c r="C154" s="2">
        <v>0.3</v>
      </c>
      <c r="D154" s="2">
        <v>0.95</v>
      </c>
      <c r="E154" s="2">
        <v>1</v>
      </c>
      <c r="F154" s="2">
        <v>0.5</v>
      </c>
      <c r="G154" s="39">
        <v>15.899999618530273</v>
      </c>
      <c r="H154">
        <v>1.115547776222229</v>
      </c>
    </row>
    <row r="155" spans="1:8" x14ac:dyDescent="0.25">
      <c r="A155" s="2">
        <v>144</v>
      </c>
      <c r="B155" s="2">
        <v>0.1</v>
      </c>
      <c r="C155" s="2">
        <v>0.3</v>
      </c>
      <c r="D155" s="2">
        <v>0.95</v>
      </c>
      <c r="E155" s="2">
        <v>1</v>
      </c>
      <c r="F155" s="2">
        <v>0.5</v>
      </c>
      <c r="G155" s="39">
        <v>25.399999618530273</v>
      </c>
      <c r="H155">
        <v>0.98474228382110596</v>
      </c>
    </row>
    <row r="156" spans="1:8" x14ac:dyDescent="0.25">
      <c r="A156" s="2">
        <v>145</v>
      </c>
      <c r="B156" s="2">
        <v>0.1</v>
      </c>
      <c r="C156" s="2">
        <v>0.3</v>
      </c>
      <c r="D156" s="2">
        <v>0.95</v>
      </c>
      <c r="E156" s="2">
        <v>5.5</v>
      </c>
      <c r="F156" s="2">
        <v>0.1</v>
      </c>
      <c r="G156" s="39">
        <v>12.699999809265137</v>
      </c>
      <c r="H156">
        <v>0.42383289337158203</v>
      </c>
    </row>
    <row r="157" spans="1:8" x14ac:dyDescent="0.25">
      <c r="A157" s="2">
        <v>146</v>
      </c>
      <c r="B157" s="2">
        <v>0.1</v>
      </c>
      <c r="C157" s="2">
        <v>0.3</v>
      </c>
      <c r="D157" s="2">
        <v>0.95</v>
      </c>
      <c r="E157" s="2">
        <v>5.5</v>
      </c>
      <c r="F157" s="2">
        <v>0.1</v>
      </c>
      <c r="G157" s="39">
        <v>15.899999618530273</v>
      </c>
      <c r="H157">
        <v>0.34253692626953125</v>
      </c>
    </row>
    <row r="158" spans="1:8" x14ac:dyDescent="0.25">
      <c r="A158" s="2">
        <v>147</v>
      </c>
      <c r="B158" s="2">
        <v>0.1</v>
      </c>
      <c r="C158" s="2">
        <v>0.3</v>
      </c>
      <c r="D158" s="2">
        <v>0.95</v>
      </c>
      <c r="E158" s="2">
        <v>5.5</v>
      </c>
      <c r="F158" s="2">
        <v>0.1</v>
      </c>
      <c r="G158" s="39">
        <v>25.399999618530273</v>
      </c>
      <c r="H158">
        <v>0.30237212777137756</v>
      </c>
    </row>
    <row r="159" spans="1:8" x14ac:dyDescent="0.25">
      <c r="A159" s="2">
        <v>148</v>
      </c>
      <c r="B159" s="2">
        <v>0.1</v>
      </c>
      <c r="C159" s="2">
        <v>0.3</v>
      </c>
      <c r="D159" s="2">
        <v>0.95</v>
      </c>
      <c r="E159" s="2">
        <v>5.5</v>
      </c>
      <c r="F159" s="2">
        <v>0.3</v>
      </c>
      <c r="G159" s="39">
        <v>12.699999809265137</v>
      </c>
      <c r="H159">
        <v>0.27544337511062622</v>
      </c>
    </row>
    <row r="160" spans="1:8" x14ac:dyDescent="0.25">
      <c r="A160" s="2">
        <v>149</v>
      </c>
      <c r="B160" s="2">
        <v>0.1</v>
      </c>
      <c r="C160" s="2">
        <v>0.3</v>
      </c>
      <c r="D160" s="2">
        <v>0.95</v>
      </c>
      <c r="E160" s="2">
        <v>5.5</v>
      </c>
      <c r="F160" s="2">
        <v>0.3</v>
      </c>
      <c r="G160" s="39">
        <v>15.899999618530273</v>
      </c>
      <c r="H160">
        <v>0.22261020541191101</v>
      </c>
    </row>
    <row r="161" spans="1:8" x14ac:dyDescent="0.25">
      <c r="A161" s="2">
        <v>150</v>
      </c>
      <c r="B161" s="2">
        <v>0.1</v>
      </c>
      <c r="C161" s="2">
        <v>0.3</v>
      </c>
      <c r="D161" s="2">
        <v>0.95</v>
      </c>
      <c r="E161" s="2">
        <v>5.5</v>
      </c>
      <c r="F161" s="2">
        <v>0.3</v>
      </c>
      <c r="G161" s="39">
        <v>25.399999618530273</v>
      </c>
      <c r="H161">
        <v>0.19650763273239136</v>
      </c>
    </row>
    <row r="162" spans="1:8" x14ac:dyDescent="0.25">
      <c r="A162" s="2">
        <v>151</v>
      </c>
      <c r="B162" s="2">
        <v>0.1</v>
      </c>
      <c r="C162" s="2">
        <v>0.3</v>
      </c>
      <c r="D162" s="2">
        <v>0.95</v>
      </c>
      <c r="E162" s="2">
        <v>5.5</v>
      </c>
      <c r="F162" s="2">
        <v>0.5</v>
      </c>
      <c r="G162" s="39">
        <v>12.699999809265137</v>
      </c>
      <c r="H162">
        <v>0.45754680037498474</v>
      </c>
    </row>
    <row r="163" spans="1:8" x14ac:dyDescent="0.25">
      <c r="A163" s="2">
        <v>152</v>
      </c>
      <c r="B163" s="2">
        <v>0.1</v>
      </c>
      <c r="C163" s="2">
        <v>0.3</v>
      </c>
      <c r="D163" s="2">
        <v>0.95</v>
      </c>
      <c r="E163" s="2">
        <v>5.5</v>
      </c>
      <c r="F163" s="2">
        <v>0.5</v>
      </c>
      <c r="G163" s="39">
        <v>15.899999618530273</v>
      </c>
      <c r="H163">
        <v>0.36978411674499512</v>
      </c>
    </row>
    <row r="164" spans="1:8" x14ac:dyDescent="0.25">
      <c r="A164" s="2">
        <v>153</v>
      </c>
      <c r="B164" s="2">
        <v>0.1</v>
      </c>
      <c r="C164" s="2">
        <v>0.3</v>
      </c>
      <c r="D164" s="2">
        <v>0.95</v>
      </c>
      <c r="E164" s="2">
        <v>5.5</v>
      </c>
      <c r="F164" s="2">
        <v>0.5</v>
      </c>
      <c r="G164" s="39">
        <v>25.399999618530273</v>
      </c>
      <c r="H164">
        <v>0.32642441987991333</v>
      </c>
    </row>
    <row r="165" spans="1:8" x14ac:dyDescent="0.25">
      <c r="A165" s="2">
        <v>154</v>
      </c>
      <c r="B165" s="2">
        <v>0.1</v>
      </c>
      <c r="C165" s="2">
        <v>0.3</v>
      </c>
      <c r="D165" s="2">
        <v>0.95</v>
      </c>
      <c r="E165" s="2">
        <v>10</v>
      </c>
      <c r="F165" s="2">
        <v>0.1</v>
      </c>
      <c r="G165" s="39">
        <v>12.699999809265137</v>
      </c>
      <c r="H165">
        <v>0.33775758743286133</v>
      </c>
    </row>
    <row r="166" spans="1:8" x14ac:dyDescent="0.25">
      <c r="A166" s="2">
        <v>155</v>
      </c>
      <c r="B166" s="2">
        <v>0.1</v>
      </c>
      <c r="C166" s="2">
        <v>0.3</v>
      </c>
      <c r="D166" s="2">
        <v>0.95</v>
      </c>
      <c r="E166" s="2">
        <v>10</v>
      </c>
      <c r="F166" s="2">
        <v>0.1</v>
      </c>
      <c r="G166" s="39">
        <v>15.899999618530273</v>
      </c>
      <c r="H166">
        <v>0.27297183871269226</v>
      </c>
    </row>
    <row r="167" spans="1:8" x14ac:dyDescent="0.25">
      <c r="A167" s="2">
        <v>156</v>
      </c>
      <c r="B167" s="2">
        <v>0.1</v>
      </c>
      <c r="C167" s="2">
        <v>0.3</v>
      </c>
      <c r="D167" s="2">
        <v>0.95</v>
      </c>
      <c r="E167" s="2">
        <v>10</v>
      </c>
      <c r="F167" s="2">
        <v>0.1</v>
      </c>
      <c r="G167" s="39">
        <v>25.399999618530273</v>
      </c>
      <c r="H167">
        <v>0.24096402525901794</v>
      </c>
    </row>
    <row r="168" spans="1:8" x14ac:dyDescent="0.25">
      <c r="A168" s="2">
        <v>157</v>
      </c>
      <c r="B168" s="2">
        <v>0.1</v>
      </c>
      <c r="C168" s="2">
        <v>0.3</v>
      </c>
      <c r="D168" s="2">
        <v>0.95</v>
      </c>
      <c r="E168" s="2">
        <v>10</v>
      </c>
      <c r="F168" s="2">
        <v>0.3</v>
      </c>
      <c r="G168" s="39">
        <v>12.699999809265137</v>
      </c>
      <c r="H168">
        <v>0.21607126295566559</v>
      </c>
    </row>
    <row r="169" spans="1:8" x14ac:dyDescent="0.25">
      <c r="A169" s="2">
        <v>158</v>
      </c>
      <c r="B169" s="2">
        <v>0.1</v>
      </c>
      <c r="C169" s="2">
        <v>0.3</v>
      </c>
      <c r="D169" s="2">
        <v>0.95</v>
      </c>
      <c r="E169" s="2">
        <v>10</v>
      </c>
      <c r="F169" s="2">
        <v>0.3</v>
      </c>
      <c r="G169" s="39">
        <v>15.899999618530273</v>
      </c>
      <c r="H169">
        <v>0.17462632060050964</v>
      </c>
    </row>
    <row r="170" spans="1:8" x14ac:dyDescent="0.25">
      <c r="A170" s="2">
        <v>159</v>
      </c>
      <c r="B170" s="2">
        <v>0.1</v>
      </c>
      <c r="C170" s="2">
        <v>0.3</v>
      </c>
      <c r="D170" s="2">
        <v>0.95</v>
      </c>
      <c r="E170" s="2">
        <v>10</v>
      </c>
      <c r="F170" s="2">
        <v>0.3</v>
      </c>
      <c r="G170" s="39">
        <v>25.399999618530273</v>
      </c>
      <c r="H170">
        <v>0.15415020287036896</v>
      </c>
    </row>
    <row r="171" spans="1:8" x14ac:dyDescent="0.25">
      <c r="A171" s="2">
        <v>160</v>
      </c>
      <c r="B171" s="2">
        <v>0.1</v>
      </c>
      <c r="C171" s="2">
        <v>0.3</v>
      </c>
      <c r="D171" s="2">
        <v>0.95</v>
      </c>
      <c r="E171" s="2">
        <v>10</v>
      </c>
      <c r="F171" s="2">
        <v>0.5</v>
      </c>
      <c r="G171" s="39">
        <v>12.699999809265137</v>
      </c>
      <c r="H171">
        <v>0.35508653521537781</v>
      </c>
    </row>
    <row r="172" spans="1:8" x14ac:dyDescent="0.25">
      <c r="A172" s="2">
        <v>161</v>
      </c>
      <c r="B172" s="2">
        <v>0.1</v>
      </c>
      <c r="C172" s="2">
        <v>0.3</v>
      </c>
      <c r="D172" s="2">
        <v>0.95</v>
      </c>
      <c r="E172" s="2">
        <v>10</v>
      </c>
      <c r="F172" s="2">
        <v>0.5</v>
      </c>
      <c r="G172" s="39">
        <v>15.899999618530273</v>
      </c>
      <c r="H172">
        <v>0.28697690367698669</v>
      </c>
    </row>
    <row r="173" spans="1:8" x14ac:dyDescent="0.25">
      <c r="A173" s="2">
        <v>162</v>
      </c>
      <c r="B173" s="2">
        <v>0.1</v>
      </c>
      <c r="C173" s="2">
        <v>0.3</v>
      </c>
      <c r="D173" s="2">
        <v>0.95</v>
      </c>
      <c r="E173" s="2">
        <v>10</v>
      </c>
      <c r="F173" s="2">
        <v>0.5</v>
      </c>
      <c r="G173" s="39">
        <v>25.399999618530273</v>
      </c>
      <c r="H173">
        <v>0.2533268928527832</v>
      </c>
    </row>
    <row r="174" spans="1:8" x14ac:dyDescent="0.25">
      <c r="A174" s="2">
        <v>163</v>
      </c>
      <c r="B174" s="2">
        <v>0.1</v>
      </c>
      <c r="C174" s="2">
        <v>0.5</v>
      </c>
      <c r="D174" s="2">
        <v>0.7</v>
      </c>
      <c r="E174" s="2">
        <v>1</v>
      </c>
      <c r="F174" s="2">
        <v>0.1</v>
      </c>
      <c r="G174" s="39">
        <v>12.699999809265137</v>
      </c>
      <c r="H174">
        <v>2.3441562652587891</v>
      </c>
    </row>
    <row r="175" spans="1:8" x14ac:dyDescent="0.25">
      <c r="A175" s="2">
        <v>164</v>
      </c>
      <c r="B175" s="2">
        <v>0.1</v>
      </c>
      <c r="C175" s="2">
        <v>0.5</v>
      </c>
      <c r="D175" s="2">
        <v>0.7</v>
      </c>
      <c r="E175" s="2">
        <v>1</v>
      </c>
      <c r="F175" s="2">
        <v>0.1</v>
      </c>
      <c r="G175" s="39">
        <v>15.899999618530273</v>
      </c>
      <c r="H175">
        <v>1.8945202827453613</v>
      </c>
    </row>
    <row r="176" spans="1:8" x14ac:dyDescent="0.25">
      <c r="A176" s="2">
        <v>165</v>
      </c>
      <c r="B176" s="2">
        <v>0.1</v>
      </c>
      <c r="C176" s="2">
        <v>0.5</v>
      </c>
      <c r="D176" s="2">
        <v>0.7</v>
      </c>
      <c r="E176" s="2">
        <v>1</v>
      </c>
      <c r="F176" s="2">
        <v>0.1</v>
      </c>
      <c r="G176" s="39">
        <v>25.399999618530273</v>
      </c>
      <c r="H176">
        <v>1.672374963760376</v>
      </c>
    </row>
    <row r="177" spans="1:8" x14ac:dyDescent="0.25">
      <c r="A177" s="2">
        <v>166</v>
      </c>
      <c r="B177" s="2">
        <v>0.1</v>
      </c>
      <c r="C177" s="2">
        <v>0.5</v>
      </c>
      <c r="D177" s="2">
        <v>0.7</v>
      </c>
      <c r="E177" s="2">
        <v>1</v>
      </c>
      <c r="F177" s="2">
        <v>0.3</v>
      </c>
      <c r="G177" s="39">
        <v>12.699999809265137</v>
      </c>
      <c r="H177">
        <v>1.7572003602981567</v>
      </c>
    </row>
    <row r="178" spans="1:8" x14ac:dyDescent="0.25">
      <c r="A178" s="2">
        <v>167</v>
      </c>
      <c r="B178" s="2">
        <v>0.1</v>
      </c>
      <c r="C178" s="2">
        <v>0.5</v>
      </c>
      <c r="D178" s="2">
        <v>0.7</v>
      </c>
      <c r="E178" s="2">
        <v>1</v>
      </c>
      <c r="F178" s="2">
        <v>0.3</v>
      </c>
      <c r="G178" s="39">
        <v>15.899999618530273</v>
      </c>
      <c r="H178">
        <v>1.4201493263244629</v>
      </c>
    </row>
    <row r="179" spans="1:8" x14ac:dyDescent="0.25">
      <c r="A179" s="2">
        <v>168</v>
      </c>
      <c r="B179" s="2">
        <v>0.1</v>
      </c>
      <c r="C179" s="2">
        <v>0.5</v>
      </c>
      <c r="D179" s="2">
        <v>0.7</v>
      </c>
      <c r="E179" s="2">
        <v>1</v>
      </c>
      <c r="F179" s="2">
        <v>0.3</v>
      </c>
      <c r="G179" s="39">
        <v>25.399999618530273</v>
      </c>
      <c r="H179">
        <v>1.2536271810531616</v>
      </c>
    </row>
    <row r="180" spans="1:8" x14ac:dyDescent="0.25">
      <c r="A180" s="2">
        <v>169</v>
      </c>
      <c r="B180" s="2">
        <v>0.1</v>
      </c>
      <c r="C180" s="2">
        <v>0.5</v>
      </c>
      <c r="D180" s="2">
        <v>0.7</v>
      </c>
      <c r="E180" s="2">
        <v>1</v>
      </c>
      <c r="F180" s="2">
        <v>0.5</v>
      </c>
      <c r="G180" s="39">
        <v>12.699999809265137</v>
      </c>
      <c r="H180">
        <v>3.1801166534423828</v>
      </c>
    </row>
    <row r="181" spans="1:8" x14ac:dyDescent="0.25">
      <c r="A181" s="2">
        <v>170</v>
      </c>
      <c r="B181" s="2">
        <v>0.1</v>
      </c>
      <c r="C181" s="2">
        <v>0.5</v>
      </c>
      <c r="D181" s="2">
        <v>0.7</v>
      </c>
      <c r="E181" s="2">
        <v>1</v>
      </c>
      <c r="F181" s="2">
        <v>0.5</v>
      </c>
      <c r="G181" s="39">
        <v>15.899999618530273</v>
      </c>
      <c r="H181">
        <v>2.5701339244842529</v>
      </c>
    </row>
    <row r="182" spans="1:8" x14ac:dyDescent="0.25">
      <c r="A182" s="2">
        <v>171</v>
      </c>
      <c r="B182" s="2">
        <v>0.1</v>
      </c>
      <c r="C182" s="2">
        <v>0.5</v>
      </c>
      <c r="D182" s="2">
        <v>0.7</v>
      </c>
      <c r="E182" s="2">
        <v>1</v>
      </c>
      <c r="F182" s="2">
        <v>0.5</v>
      </c>
      <c r="G182" s="39">
        <v>25.399999618530273</v>
      </c>
      <c r="H182">
        <v>2.268768310546875</v>
      </c>
    </row>
    <row r="183" spans="1:8" x14ac:dyDescent="0.25">
      <c r="A183" s="2">
        <v>172</v>
      </c>
      <c r="B183" s="2">
        <v>0.1</v>
      </c>
      <c r="C183" s="2">
        <v>0.5</v>
      </c>
      <c r="D183" s="2">
        <v>0.7</v>
      </c>
      <c r="E183" s="2">
        <v>5.5</v>
      </c>
      <c r="F183" s="2">
        <v>0.1</v>
      </c>
      <c r="G183" s="39">
        <v>12.699999809265137</v>
      </c>
      <c r="H183">
        <v>0.70307135581970215</v>
      </c>
    </row>
    <row r="184" spans="1:8" x14ac:dyDescent="0.25">
      <c r="A184" s="2">
        <v>173</v>
      </c>
      <c r="B184" s="2">
        <v>0.1</v>
      </c>
      <c r="C184" s="2">
        <v>0.5</v>
      </c>
      <c r="D184" s="2">
        <v>0.7</v>
      </c>
      <c r="E184" s="2">
        <v>5.5</v>
      </c>
      <c r="F184" s="2">
        <v>0.1</v>
      </c>
      <c r="G184" s="39">
        <v>15.899999618530273</v>
      </c>
      <c r="H184">
        <v>0.56821423768997192</v>
      </c>
    </row>
    <row r="185" spans="1:8" x14ac:dyDescent="0.25">
      <c r="A185" s="2">
        <v>174</v>
      </c>
      <c r="B185" s="2">
        <v>0.1</v>
      </c>
      <c r="C185" s="2">
        <v>0.5</v>
      </c>
      <c r="D185" s="2">
        <v>0.7</v>
      </c>
      <c r="E185" s="2">
        <v>5.5</v>
      </c>
      <c r="F185" s="2">
        <v>0.1</v>
      </c>
      <c r="G185" s="39">
        <v>25.399999618530273</v>
      </c>
      <c r="H185">
        <v>0.50158727169036865</v>
      </c>
    </row>
    <row r="186" spans="1:8" x14ac:dyDescent="0.25">
      <c r="A186" s="2">
        <v>175</v>
      </c>
      <c r="B186" s="2">
        <v>0.1</v>
      </c>
      <c r="C186" s="2">
        <v>0.5</v>
      </c>
      <c r="D186" s="2">
        <v>0.7</v>
      </c>
      <c r="E186" s="2">
        <v>5.5</v>
      </c>
      <c r="F186" s="2">
        <v>0.3</v>
      </c>
      <c r="G186" s="39">
        <v>12.699999809265137</v>
      </c>
      <c r="H186">
        <v>0.46230706572532654</v>
      </c>
    </row>
    <row r="187" spans="1:8" x14ac:dyDescent="0.25">
      <c r="A187" s="2">
        <v>176</v>
      </c>
      <c r="B187" s="2">
        <v>0.1</v>
      </c>
      <c r="C187" s="2">
        <v>0.5</v>
      </c>
      <c r="D187" s="2">
        <v>0.7</v>
      </c>
      <c r="E187" s="2">
        <v>5.5</v>
      </c>
      <c r="F187" s="2">
        <v>0.3</v>
      </c>
      <c r="G187" s="39">
        <v>15.899999618530273</v>
      </c>
      <c r="H187">
        <v>0.37363129854202271</v>
      </c>
    </row>
    <row r="188" spans="1:8" x14ac:dyDescent="0.25">
      <c r="A188" s="2">
        <v>177</v>
      </c>
      <c r="B188" s="2">
        <v>0.1</v>
      </c>
      <c r="C188" s="2">
        <v>0.5</v>
      </c>
      <c r="D188" s="2">
        <v>0.7</v>
      </c>
      <c r="E188" s="2">
        <v>5.5</v>
      </c>
      <c r="F188" s="2">
        <v>0.3</v>
      </c>
      <c r="G188" s="39">
        <v>25.399999618530273</v>
      </c>
      <c r="H188">
        <v>0.32982048392295837</v>
      </c>
    </row>
    <row r="189" spans="1:8" x14ac:dyDescent="0.25">
      <c r="A189" s="2">
        <v>178</v>
      </c>
      <c r="B189" s="2">
        <v>0.1</v>
      </c>
      <c r="C189" s="2">
        <v>0.5</v>
      </c>
      <c r="D189" s="2">
        <v>0.7</v>
      </c>
      <c r="E189" s="2">
        <v>5.5</v>
      </c>
      <c r="F189" s="2">
        <v>0.5</v>
      </c>
      <c r="G189" s="39">
        <v>12.699999809265137</v>
      </c>
      <c r="H189">
        <v>0.77397388219833374</v>
      </c>
    </row>
    <row r="190" spans="1:8" x14ac:dyDescent="0.25">
      <c r="A190" s="2">
        <v>179</v>
      </c>
      <c r="B190" s="2">
        <v>0.1</v>
      </c>
      <c r="C190" s="2">
        <v>0.5</v>
      </c>
      <c r="D190" s="2">
        <v>0.7</v>
      </c>
      <c r="E190" s="2">
        <v>5.5</v>
      </c>
      <c r="F190" s="2">
        <v>0.5</v>
      </c>
      <c r="G190" s="39">
        <v>15.899999618530273</v>
      </c>
      <c r="H190">
        <v>0.62551689147949219</v>
      </c>
    </row>
    <row r="191" spans="1:8" x14ac:dyDescent="0.25">
      <c r="A191" s="2">
        <v>180</v>
      </c>
      <c r="B191" s="2">
        <v>0.1</v>
      </c>
      <c r="C191" s="2">
        <v>0.5</v>
      </c>
      <c r="D191" s="2">
        <v>0.7</v>
      </c>
      <c r="E191" s="2">
        <v>5.5</v>
      </c>
      <c r="F191" s="2">
        <v>0.5</v>
      </c>
      <c r="G191" s="39">
        <v>25.399999618530273</v>
      </c>
      <c r="H191">
        <v>0.55217075347900391</v>
      </c>
    </row>
    <row r="192" spans="1:8" x14ac:dyDescent="0.25">
      <c r="A192" s="2">
        <v>181</v>
      </c>
      <c r="B192" s="2">
        <v>0.1</v>
      </c>
      <c r="C192" s="2">
        <v>0.5</v>
      </c>
      <c r="D192" s="2">
        <v>0.7</v>
      </c>
      <c r="E192" s="2">
        <v>10</v>
      </c>
      <c r="F192" s="2">
        <v>0.1</v>
      </c>
      <c r="G192" s="39">
        <v>12.699999809265137</v>
      </c>
      <c r="H192">
        <v>0.2141088992357254</v>
      </c>
    </row>
    <row r="193" spans="1:8" x14ac:dyDescent="0.25">
      <c r="A193" s="2">
        <v>182</v>
      </c>
      <c r="B193" s="2">
        <v>0.1</v>
      </c>
      <c r="C193" s="2">
        <v>0.5</v>
      </c>
      <c r="D193" s="2">
        <v>0.7</v>
      </c>
      <c r="E193" s="2">
        <v>10</v>
      </c>
      <c r="F193" s="2">
        <v>0.1</v>
      </c>
      <c r="G193" s="39">
        <v>15.899999618530273</v>
      </c>
      <c r="H193">
        <v>0.17304037511348724</v>
      </c>
    </row>
    <row r="194" spans="1:8" x14ac:dyDescent="0.25">
      <c r="A194" s="2">
        <v>183</v>
      </c>
      <c r="B194" s="2">
        <v>0.1</v>
      </c>
      <c r="C194" s="2">
        <v>0.5</v>
      </c>
      <c r="D194" s="2">
        <v>0.7</v>
      </c>
      <c r="E194" s="2">
        <v>10</v>
      </c>
      <c r="F194" s="2">
        <v>0.1</v>
      </c>
      <c r="G194" s="39">
        <v>25.399999618530273</v>
      </c>
      <c r="H194">
        <v>0.15275020897388458</v>
      </c>
    </row>
    <row r="195" spans="1:8" x14ac:dyDescent="0.25">
      <c r="A195" s="2">
        <v>184</v>
      </c>
      <c r="B195" s="2">
        <v>0.1</v>
      </c>
      <c r="C195" s="2">
        <v>0.5</v>
      </c>
      <c r="D195" s="2">
        <v>0.7</v>
      </c>
      <c r="E195" s="2">
        <v>10</v>
      </c>
      <c r="F195" s="2">
        <v>0.3</v>
      </c>
      <c r="G195" s="39">
        <v>12.699999809265137</v>
      </c>
      <c r="H195">
        <v>0.18144083023071289</v>
      </c>
    </row>
    <row r="196" spans="1:8" x14ac:dyDescent="0.25">
      <c r="A196" s="2">
        <v>185</v>
      </c>
      <c r="B196" s="2">
        <v>0.1</v>
      </c>
      <c r="C196" s="2">
        <v>0.5</v>
      </c>
      <c r="D196" s="2">
        <v>0.7</v>
      </c>
      <c r="E196" s="2">
        <v>10</v>
      </c>
      <c r="F196" s="2">
        <v>0.3</v>
      </c>
      <c r="G196" s="39">
        <v>15.899999618530273</v>
      </c>
      <c r="H196">
        <v>0.1466384083032608</v>
      </c>
    </row>
    <row r="197" spans="1:8" x14ac:dyDescent="0.25">
      <c r="A197" s="2">
        <v>186</v>
      </c>
      <c r="B197" s="2">
        <v>0.1</v>
      </c>
      <c r="C197" s="2">
        <v>0.5</v>
      </c>
      <c r="D197" s="2">
        <v>0.7</v>
      </c>
      <c r="E197" s="2">
        <v>10</v>
      </c>
      <c r="F197" s="2">
        <v>0.3</v>
      </c>
      <c r="G197" s="39">
        <v>25.399999618530273</v>
      </c>
      <c r="H197">
        <v>0.12944406270980835</v>
      </c>
    </row>
    <row r="198" spans="1:8" x14ac:dyDescent="0.25">
      <c r="A198" s="2">
        <v>187</v>
      </c>
      <c r="B198" s="2">
        <v>0.1</v>
      </c>
      <c r="C198" s="2">
        <v>0.5</v>
      </c>
      <c r="D198" s="2">
        <v>0.7</v>
      </c>
      <c r="E198" s="2">
        <v>10</v>
      </c>
      <c r="F198" s="2">
        <v>0.5</v>
      </c>
      <c r="G198" s="39">
        <v>12.699999809265137</v>
      </c>
      <c r="H198">
        <v>0.34865126013755798</v>
      </c>
    </row>
    <row r="199" spans="1:8" x14ac:dyDescent="0.25">
      <c r="A199" s="2">
        <v>188</v>
      </c>
      <c r="B199" s="2">
        <v>0.1</v>
      </c>
      <c r="C199" s="2">
        <v>0.5</v>
      </c>
      <c r="D199" s="2">
        <v>0.7</v>
      </c>
      <c r="E199" s="2">
        <v>10</v>
      </c>
      <c r="F199" s="2">
        <v>0.5</v>
      </c>
      <c r="G199" s="39">
        <v>15.899999618530273</v>
      </c>
      <c r="H199">
        <v>0.28177598118782043</v>
      </c>
    </row>
    <row r="200" spans="1:8" x14ac:dyDescent="0.25">
      <c r="A200" s="2">
        <v>189</v>
      </c>
      <c r="B200" s="2">
        <v>0.1</v>
      </c>
      <c r="C200" s="2">
        <v>0.5</v>
      </c>
      <c r="D200" s="2">
        <v>0.7</v>
      </c>
      <c r="E200" s="2">
        <v>10</v>
      </c>
      <c r="F200" s="2">
        <v>0.5</v>
      </c>
      <c r="G200" s="39">
        <v>25.399999618530273</v>
      </c>
      <c r="H200">
        <v>0.24873581528663635</v>
      </c>
    </row>
    <row r="201" spans="1:8" x14ac:dyDescent="0.25">
      <c r="A201" s="2">
        <v>190</v>
      </c>
      <c r="B201" s="2">
        <v>0.1</v>
      </c>
      <c r="C201" s="2">
        <v>0.5</v>
      </c>
      <c r="D201" s="2">
        <v>0.82499999999999996</v>
      </c>
      <c r="E201" s="2">
        <v>1</v>
      </c>
      <c r="F201" s="2">
        <v>0.1</v>
      </c>
      <c r="G201" s="39">
        <v>12.699999809265137</v>
      </c>
      <c r="H201">
        <v>1.6350221633911133</v>
      </c>
    </row>
    <row r="202" spans="1:8" x14ac:dyDescent="0.25">
      <c r="A202" s="2">
        <v>191</v>
      </c>
      <c r="B202" s="2">
        <v>0.1</v>
      </c>
      <c r="C202" s="2">
        <v>0.5</v>
      </c>
      <c r="D202" s="2">
        <v>0.82499999999999996</v>
      </c>
      <c r="E202" s="2">
        <v>1</v>
      </c>
      <c r="F202" s="2">
        <v>0.1</v>
      </c>
      <c r="G202" s="39">
        <v>15.899999618530273</v>
      </c>
      <c r="H202">
        <v>1.3214062452316284</v>
      </c>
    </row>
    <row r="203" spans="1:8" x14ac:dyDescent="0.25">
      <c r="A203" s="2">
        <v>192</v>
      </c>
      <c r="B203" s="2">
        <v>0.1</v>
      </c>
      <c r="C203" s="2">
        <v>0.5</v>
      </c>
      <c r="D203" s="2">
        <v>0.82499999999999996</v>
      </c>
      <c r="E203" s="2">
        <v>1</v>
      </c>
      <c r="F203" s="2">
        <v>0.1</v>
      </c>
      <c r="G203" s="39">
        <v>25.399999618530273</v>
      </c>
      <c r="H203">
        <v>1.1664624214172363</v>
      </c>
    </row>
    <row r="204" spans="1:8" x14ac:dyDescent="0.25">
      <c r="A204" s="2">
        <v>193</v>
      </c>
      <c r="B204" s="2">
        <v>0.1</v>
      </c>
      <c r="C204" s="2">
        <v>0.5</v>
      </c>
      <c r="D204" s="2">
        <v>0.82499999999999996</v>
      </c>
      <c r="E204" s="2">
        <v>1</v>
      </c>
      <c r="F204" s="2">
        <v>0.3</v>
      </c>
      <c r="G204" s="39">
        <v>12.699999809265137</v>
      </c>
      <c r="H204">
        <v>1.2256271839141846</v>
      </c>
    </row>
    <row r="205" spans="1:8" x14ac:dyDescent="0.25">
      <c r="A205" s="2">
        <v>194</v>
      </c>
      <c r="B205" s="2">
        <v>0.1</v>
      </c>
      <c r="C205" s="2">
        <v>0.5</v>
      </c>
      <c r="D205" s="2">
        <v>0.82499999999999996</v>
      </c>
      <c r="E205" s="2">
        <v>1</v>
      </c>
      <c r="F205" s="2">
        <v>0.3</v>
      </c>
      <c r="G205" s="39">
        <v>15.899999618530273</v>
      </c>
      <c r="H205">
        <v>0.99053794145584106</v>
      </c>
    </row>
    <row r="206" spans="1:8" x14ac:dyDescent="0.25">
      <c r="A206" s="2">
        <v>195</v>
      </c>
      <c r="B206" s="2">
        <v>0.1</v>
      </c>
      <c r="C206" s="2">
        <v>0.5</v>
      </c>
      <c r="D206" s="2">
        <v>0.82499999999999996</v>
      </c>
      <c r="E206" s="2">
        <v>1</v>
      </c>
      <c r="F206" s="2">
        <v>0.3</v>
      </c>
      <c r="G206" s="39">
        <v>25.399999618530273</v>
      </c>
      <c r="H206">
        <v>0.87439060211181641</v>
      </c>
    </row>
    <row r="207" spans="1:8" x14ac:dyDescent="0.25">
      <c r="A207" s="2">
        <v>196</v>
      </c>
      <c r="B207" s="2">
        <v>0.1</v>
      </c>
      <c r="C207" s="2">
        <v>0.5</v>
      </c>
      <c r="D207" s="2">
        <v>0.82499999999999996</v>
      </c>
      <c r="E207" s="2">
        <v>1</v>
      </c>
      <c r="F207" s="2">
        <v>0.5</v>
      </c>
      <c r="G207" s="39">
        <v>12.699999809265137</v>
      </c>
      <c r="H207">
        <v>2.218095064163208</v>
      </c>
    </row>
    <row r="208" spans="1:8" x14ac:dyDescent="0.25">
      <c r="A208" s="2">
        <v>197</v>
      </c>
      <c r="B208" s="2">
        <v>0.1</v>
      </c>
      <c r="C208" s="2">
        <v>0.5</v>
      </c>
      <c r="D208" s="2">
        <v>0.82499999999999996</v>
      </c>
      <c r="E208" s="2">
        <v>1</v>
      </c>
      <c r="F208" s="2">
        <v>0.5</v>
      </c>
      <c r="G208" s="39">
        <v>15.899999618530273</v>
      </c>
      <c r="H208">
        <v>1.7926391363143921</v>
      </c>
    </row>
    <row r="209" spans="1:8" x14ac:dyDescent="0.25">
      <c r="A209" s="2">
        <v>198</v>
      </c>
      <c r="B209" s="2">
        <v>0.1</v>
      </c>
      <c r="C209" s="2">
        <v>0.5</v>
      </c>
      <c r="D209" s="2">
        <v>0.82499999999999996</v>
      </c>
      <c r="E209" s="2">
        <v>1</v>
      </c>
      <c r="F209" s="2">
        <v>0.5</v>
      </c>
      <c r="G209" s="39">
        <v>25.399999618530273</v>
      </c>
      <c r="H209">
        <v>1.5824400186538696</v>
      </c>
    </row>
    <row r="210" spans="1:8" x14ac:dyDescent="0.25">
      <c r="A210" s="2">
        <v>199</v>
      </c>
      <c r="B210" s="2">
        <v>0.1</v>
      </c>
      <c r="C210" s="2">
        <v>0.5</v>
      </c>
      <c r="D210" s="2">
        <v>0.82499999999999996</v>
      </c>
      <c r="E210" s="2">
        <v>5.5</v>
      </c>
      <c r="F210" s="2">
        <v>0.1</v>
      </c>
      <c r="G210" s="39">
        <v>12.699999809265137</v>
      </c>
      <c r="H210">
        <v>0.49038425087928772</v>
      </c>
    </row>
    <row r="211" spans="1:8" x14ac:dyDescent="0.25">
      <c r="A211" s="2">
        <v>200</v>
      </c>
      <c r="B211" s="2">
        <v>0.1</v>
      </c>
      <c r="C211" s="2">
        <v>0.5</v>
      </c>
      <c r="D211" s="2">
        <v>0.82499999999999996</v>
      </c>
      <c r="E211" s="2">
        <v>5.5</v>
      </c>
      <c r="F211" s="2">
        <v>0.1</v>
      </c>
      <c r="G211" s="39">
        <v>15.899999618530273</v>
      </c>
      <c r="H211">
        <v>0.39632296562194824</v>
      </c>
    </row>
    <row r="212" spans="1:8" x14ac:dyDescent="0.25">
      <c r="A212" s="2">
        <v>201</v>
      </c>
      <c r="B212" s="2">
        <v>0.1</v>
      </c>
      <c r="C212" s="2">
        <v>0.5</v>
      </c>
      <c r="D212" s="2">
        <v>0.82499999999999996</v>
      </c>
      <c r="E212" s="2">
        <v>5.5</v>
      </c>
      <c r="F212" s="2">
        <v>0.1</v>
      </c>
      <c r="G212" s="39">
        <v>25.399999618530273</v>
      </c>
      <c r="H212">
        <v>0.34985139966011047</v>
      </c>
    </row>
    <row r="213" spans="1:8" x14ac:dyDescent="0.25">
      <c r="A213" s="2">
        <v>202</v>
      </c>
      <c r="B213" s="2">
        <v>0.1</v>
      </c>
      <c r="C213" s="2">
        <v>0.5</v>
      </c>
      <c r="D213" s="2">
        <v>0.82499999999999996</v>
      </c>
      <c r="E213" s="2">
        <v>5.5</v>
      </c>
      <c r="F213" s="2">
        <v>0.3</v>
      </c>
      <c r="G213" s="39">
        <v>12.699999809265137</v>
      </c>
      <c r="H213">
        <v>0.32245391607284546</v>
      </c>
    </row>
    <row r="214" spans="1:8" x14ac:dyDescent="0.25">
      <c r="A214" s="2">
        <v>203</v>
      </c>
      <c r="B214" s="2">
        <v>0.1</v>
      </c>
      <c r="C214" s="2">
        <v>0.5</v>
      </c>
      <c r="D214" s="2">
        <v>0.82499999999999996</v>
      </c>
      <c r="E214" s="2">
        <v>5.5</v>
      </c>
      <c r="F214" s="2">
        <v>0.3</v>
      </c>
      <c r="G214" s="39">
        <v>15.899999618530273</v>
      </c>
      <c r="H214">
        <v>0.26060357689857483</v>
      </c>
    </row>
    <row r="215" spans="1:8" x14ac:dyDescent="0.25">
      <c r="A215" s="2">
        <v>204</v>
      </c>
      <c r="B215" s="2">
        <v>0.1</v>
      </c>
      <c r="C215" s="2">
        <v>0.5</v>
      </c>
      <c r="D215" s="2">
        <v>0.82499999999999996</v>
      </c>
      <c r="E215" s="2">
        <v>5.5</v>
      </c>
      <c r="F215" s="2">
        <v>0.3</v>
      </c>
      <c r="G215" s="39">
        <v>25.399999618530273</v>
      </c>
      <c r="H215">
        <v>0.23004603385925293</v>
      </c>
    </row>
    <row r="216" spans="1:8" x14ac:dyDescent="0.25">
      <c r="A216" s="2">
        <v>205</v>
      </c>
      <c r="B216" s="2">
        <v>0.1</v>
      </c>
      <c r="C216" s="2">
        <v>0.5</v>
      </c>
      <c r="D216" s="2">
        <v>0.82499999999999996</v>
      </c>
      <c r="E216" s="2">
        <v>5.5</v>
      </c>
      <c r="F216" s="2">
        <v>0.5</v>
      </c>
      <c r="G216" s="39">
        <v>12.699999809265137</v>
      </c>
      <c r="H216">
        <v>0.53983795642852783</v>
      </c>
    </row>
    <row r="217" spans="1:8" x14ac:dyDescent="0.25">
      <c r="A217" s="2">
        <v>206</v>
      </c>
      <c r="B217" s="2">
        <v>0.1</v>
      </c>
      <c r="C217" s="2">
        <v>0.5</v>
      </c>
      <c r="D217" s="2">
        <v>0.82499999999999996</v>
      </c>
      <c r="E217" s="2">
        <v>5.5</v>
      </c>
      <c r="F217" s="2">
        <v>0.5</v>
      </c>
      <c r="G217" s="39">
        <v>15.899999618530273</v>
      </c>
      <c r="H217">
        <v>0.43629088997840881</v>
      </c>
    </row>
    <row r="218" spans="1:8" x14ac:dyDescent="0.25">
      <c r="A218" s="2">
        <v>207</v>
      </c>
      <c r="B218" s="2">
        <v>0.1</v>
      </c>
      <c r="C218" s="2">
        <v>0.5</v>
      </c>
      <c r="D218" s="2">
        <v>0.82499999999999996</v>
      </c>
      <c r="E218" s="2">
        <v>5.5</v>
      </c>
      <c r="F218" s="2">
        <v>0.5</v>
      </c>
      <c r="G218" s="39">
        <v>25.399999618530273</v>
      </c>
      <c r="H218">
        <v>0.38513281941413879</v>
      </c>
    </row>
    <row r="219" spans="1:8" x14ac:dyDescent="0.25">
      <c r="A219" s="2">
        <v>208</v>
      </c>
      <c r="B219" s="2">
        <v>0.1</v>
      </c>
      <c r="C219" s="2">
        <v>0.5</v>
      </c>
      <c r="D219" s="2">
        <v>0.82499999999999996</v>
      </c>
      <c r="E219" s="2">
        <v>10</v>
      </c>
      <c r="F219" s="2">
        <v>0.1</v>
      </c>
      <c r="G219" s="39">
        <v>12.699999809265137</v>
      </c>
      <c r="H219">
        <v>0.14933851361274719</v>
      </c>
    </row>
    <row r="220" spans="1:8" x14ac:dyDescent="0.25">
      <c r="A220" s="2">
        <v>209</v>
      </c>
      <c r="B220" s="2">
        <v>0.1</v>
      </c>
      <c r="C220" s="2">
        <v>0.5</v>
      </c>
      <c r="D220" s="2">
        <v>0.82499999999999996</v>
      </c>
      <c r="E220" s="2">
        <v>10</v>
      </c>
      <c r="F220" s="2">
        <v>0.1</v>
      </c>
      <c r="G220" s="39">
        <v>15.899999618530273</v>
      </c>
      <c r="H220">
        <v>0.12069368362426758</v>
      </c>
    </row>
    <row r="221" spans="1:8" x14ac:dyDescent="0.25">
      <c r="A221" s="2">
        <v>210</v>
      </c>
      <c r="B221" s="2">
        <v>0.1</v>
      </c>
      <c r="C221" s="2">
        <v>0.5</v>
      </c>
      <c r="D221" s="2">
        <v>0.82499999999999996</v>
      </c>
      <c r="E221" s="2">
        <v>10</v>
      </c>
      <c r="F221" s="2">
        <v>0.1</v>
      </c>
      <c r="G221" s="39">
        <v>25.399999618530273</v>
      </c>
      <c r="H221">
        <v>0.10654152929782867</v>
      </c>
    </row>
    <row r="222" spans="1:8" x14ac:dyDescent="0.25">
      <c r="A222" s="2">
        <v>211</v>
      </c>
      <c r="B222" s="2">
        <v>0.1</v>
      </c>
      <c r="C222" s="2">
        <v>0.5</v>
      </c>
      <c r="D222" s="2">
        <v>0.82499999999999996</v>
      </c>
      <c r="E222" s="2">
        <v>10</v>
      </c>
      <c r="F222" s="2">
        <v>0.3</v>
      </c>
      <c r="G222" s="39">
        <v>12.699999809265137</v>
      </c>
      <c r="H222">
        <v>0.12655290961265564</v>
      </c>
    </row>
    <row r="223" spans="1:8" x14ac:dyDescent="0.25">
      <c r="A223" s="2">
        <v>212</v>
      </c>
      <c r="B223" s="2">
        <v>0.1</v>
      </c>
      <c r="C223" s="2">
        <v>0.5</v>
      </c>
      <c r="D223" s="2">
        <v>0.82499999999999996</v>
      </c>
      <c r="E223" s="2">
        <v>10</v>
      </c>
      <c r="F223" s="2">
        <v>0.3</v>
      </c>
      <c r="G223" s="39">
        <v>15.899999618530273</v>
      </c>
      <c r="H223">
        <v>0.10227861255407333</v>
      </c>
    </row>
    <row r="224" spans="1:8" x14ac:dyDescent="0.25">
      <c r="A224" s="2">
        <v>213</v>
      </c>
      <c r="B224" s="2">
        <v>0.1</v>
      </c>
      <c r="C224" s="2">
        <v>0.5</v>
      </c>
      <c r="D224" s="2">
        <v>0.82499999999999996</v>
      </c>
      <c r="E224" s="2">
        <v>10</v>
      </c>
      <c r="F224" s="2">
        <v>0.3</v>
      </c>
      <c r="G224" s="39">
        <v>25.399999618530273</v>
      </c>
      <c r="H224">
        <v>9.0285748243331909E-2</v>
      </c>
    </row>
    <row r="225" spans="1:8" x14ac:dyDescent="0.25">
      <c r="A225" s="2">
        <v>214</v>
      </c>
      <c r="B225" s="2">
        <v>0.1</v>
      </c>
      <c r="C225" s="2">
        <v>0.5</v>
      </c>
      <c r="D225" s="2">
        <v>0.82499999999999996</v>
      </c>
      <c r="E225" s="2">
        <v>10</v>
      </c>
      <c r="F225" s="2">
        <v>0.5</v>
      </c>
      <c r="G225" s="39">
        <v>12.699999809265137</v>
      </c>
      <c r="H225">
        <v>0.24318027496337891</v>
      </c>
    </row>
    <row r="226" spans="1:8" x14ac:dyDescent="0.25">
      <c r="A226" s="2">
        <v>215</v>
      </c>
      <c r="B226" s="2">
        <v>0.1</v>
      </c>
      <c r="C226" s="2">
        <v>0.5</v>
      </c>
      <c r="D226" s="2">
        <v>0.82499999999999996</v>
      </c>
      <c r="E226" s="2">
        <v>10</v>
      </c>
      <c r="F226" s="2">
        <v>0.5</v>
      </c>
      <c r="G226" s="39">
        <v>15.899999618530273</v>
      </c>
      <c r="H226">
        <v>0.19653552770614624</v>
      </c>
    </row>
    <row r="227" spans="1:8" x14ac:dyDescent="0.25">
      <c r="A227" s="2">
        <v>216</v>
      </c>
      <c r="B227" s="2">
        <v>0.1</v>
      </c>
      <c r="C227" s="2">
        <v>0.5</v>
      </c>
      <c r="D227" s="2">
        <v>0.82499999999999996</v>
      </c>
      <c r="E227" s="2">
        <v>10</v>
      </c>
      <c r="F227" s="2">
        <v>0.5</v>
      </c>
      <c r="G227" s="39">
        <v>25.399999618530273</v>
      </c>
      <c r="H227">
        <v>0.17349039018154144</v>
      </c>
    </row>
    <row r="228" spans="1:8" x14ac:dyDescent="0.25">
      <c r="A228" s="2">
        <v>217</v>
      </c>
      <c r="B228" s="2">
        <v>0.1</v>
      </c>
      <c r="C228" s="2">
        <v>0.5</v>
      </c>
      <c r="D228" s="2">
        <v>0.95</v>
      </c>
      <c r="E228" s="2">
        <v>1</v>
      </c>
      <c r="F228" s="2">
        <v>0.1</v>
      </c>
      <c r="G228" s="39">
        <v>12.699999809265137</v>
      </c>
      <c r="H228">
        <v>0.92588818073272705</v>
      </c>
    </row>
    <row r="229" spans="1:8" x14ac:dyDescent="0.25">
      <c r="A229" s="2">
        <v>218</v>
      </c>
      <c r="B229" s="2">
        <v>0.1</v>
      </c>
      <c r="C229" s="2">
        <v>0.5</v>
      </c>
      <c r="D229" s="2">
        <v>0.95</v>
      </c>
      <c r="E229" s="2">
        <v>1</v>
      </c>
      <c r="F229" s="2">
        <v>0.1</v>
      </c>
      <c r="G229" s="39">
        <v>15.899999618530273</v>
      </c>
      <c r="H229">
        <v>0.74829226732254028</v>
      </c>
    </row>
    <row r="230" spans="1:8" x14ac:dyDescent="0.25">
      <c r="A230" s="2">
        <v>219</v>
      </c>
      <c r="B230" s="2">
        <v>0.1</v>
      </c>
      <c r="C230" s="2">
        <v>0.5</v>
      </c>
      <c r="D230" s="2">
        <v>0.95</v>
      </c>
      <c r="E230" s="2">
        <v>1</v>
      </c>
      <c r="F230" s="2">
        <v>0.1</v>
      </c>
      <c r="G230" s="39">
        <v>25.399999618530273</v>
      </c>
      <c r="H230">
        <v>0.66054993867874146</v>
      </c>
    </row>
    <row r="231" spans="1:8" x14ac:dyDescent="0.25">
      <c r="A231" s="2">
        <v>220</v>
      </c>
      <c r="B231" s="2">
        <v>0.1</v>
      </c>
      <c r="C231" s="2">
        <v>0.5</v>
      </c>
      <c r="D231" s="2">
        <v>0.95</v>
      </c>
      <c r="E231" s="2">
        <v>1</v>
      </c>
      <c r="F231" s="2">
        <v>0.3</v>
      </c>
      <c r="G231" s="39">
        <v>12.699999809265137</v>
      </c>
      <c r="H231">
        <v>0.6940540075302124</v>
      </c>
    </row>
    <row r="232" spans="1:8" x14ac:dyDescent="0.25">
      <c r="A232" s="2">
        <v>221</v>
      </c>
      <c r="B232" s="2">
        <v>0.1</v>
      </c>
      <c r="C232" s="2">
        <v>0.5</v>
      </c>
      <c r="D232" s="2">
        <v>0.95</v>
      </c>
      <c r="E232" s="2">
        <v>1</v>
      </c>
      <c r="F232" s="2">
        <v>0.3</v>
      </c>
      <c r="G232" s="39">
        <v>15.899999618530273</v>
      </c>
      <c r="H232">
        <v>0.56092655658721924</v>
      </c>
    </row>
    <row r="233" spans="1:8" x14ac:dyDescent="0.25">
      <c r="A233" s="2">
        <v>222</v>
      </c>
      <c r="B233" s="2">
        <v>0.1</v>
      </c>
      <c r="C233" s="2">
        <v>0.5</v>
      </c>
      <c r="D233" s="2">
        <v>0.95</v>
      </c>
      <c r="E233" s="2">
        <v>1</v>
      </c>
      <c r="F233" s="2">
        <v>0.3</v>
      </c>
      <c r="G233" s="39">
        <v>25.399999618530273</v>
      </c>
      <c r="H233">
        <v>0.49515408277511597</v>
      </c>
    </row>
    <row r="234" spans="1:8" x14ac:dyDescent="0.25">
      <c r="A234" s="2">
        <v>223</v>
      </c>
      <c r="B234" s="2">
        <v>0.1</v>
      </c>
      <c r="C234" s="2">
        <v>0.5</v>
      </c>
      <c r="D234" s="2">
        <v>0.95</v>
      </c>
      <c r="E234" s="2">
        <v>1</v>
      </c>
      <c r="F234" s="2">
        <v>0.5</v>
      </c>
      <c r="G234" s="39">
        <v>12.699999809265137</v>
      </c>
      <c r="H234">
        <v>1.2560734748840332</v>
      </c>
    </row>
    <row r="235" spans="1:8" x14ac:dyDescent="0.25">
      <c r="A235" s="2">
        <v>224</v>
      </c>
      <c r="B235" s="2">
        <v>0.1</v>
      </c>
      <c r="C235" s="2">
        <v>0.5</v>
      </c>
      <c r="D235" s="2">
        <v>0.95</v>
      </c>
      <c r="E235" s="2">
        <v>1</v>
      </c>
      <c r="F235" s="2">
        <v>0.5</v>
      </c>
      <c r="G235" s="39">
        <v>15.899999618530273</v>
      </c>
      <c r="H235">
        <v>1.0151442289352417</v>
      </c>
    </row>
    <row r="236" spans="1:8" x14ac:dyDescent="0.25">
      <c r="A236" s="2">
        <v>225</v>
      </c>
      <c r="B236" s="2">
        <v>0.1</v>
      </c>
      <c r="C236" s="2">
        <v>0.5</v>
      </c>
      <c r="D236" s="2">
        <v>0.95</v>
      </c>
      <c r="E236" s="2">
        <v>1</v>
      </c>
      <c r="F236" s="2">
        <v>0.5</v>
      </c>
      <c r="G236" s="39">
        <v>25.399999618530273</v>
      </c>
      <c r="H236">
        <v>0.89611166715621948</v>
      </c>
    </row>
    <row r="237" spans="1:8" x14ac:dyDescent="0.25">
      <c r="A237" s="2">
        <v>226</v>
      </c>
      <c r="B237" s="2">
        <v>0.1</v>
      </c>
      <c r="C237" s="2">
        <v>0.5</v>
      </c>
      <c r="D237" s="2">
        <v>0.95</v>
      </c>
      <c r="E237" s="2">
        <v>5.5</v>
      </c>
      <c r="F237" s="2">
        <v>0.1</v>
      </c>
      <c r="G237" s="39">
        <v>12.699999809265137</v>
      </c>
      <c r="H237">
        <v>0.27769714593887329</v>
      </c>
    </row>
    <row r="238" spans="1:8" x14ac:dyDescent="0.25">
      <c r="A238" s="2">
        <v>227</v>
      </c>
      <c r="B238" s="2">
        <v>0.1</v>
      </c>
      <c r="C238" s="2">
        <v>0.5</v>
      </c>
      <c r="D238" s="2">
        <v>0.95</v>
      </c>
      <c r="E238" s="2">
        <v>5.5</v>
      </c>
      <c r="F238" s="2">
        <v>0.1</v>
      </c>
      <c r="G238" s="39">
        <v>15.899999618530273</v>
      </c>
      <c r="H238">
        <v>0.22443166375160217</v>
      </c>
    </row>
    <row r="239" spans="1:8" x14ac:dyDescent="0.25">
      <c r="A239" s="2">
        <v>228</v>
      </c>
      <c r="B239" s="2">
        <v>0.1</v>
      </c>
      <c r="C239" s="2">
        <v>0.5</v>
      </c>
      <c r="D239" s="2">
        <v>0.95</v>
      </c>
      <c r="E239" s="2">
        <v>5.5</v>
      </c>
      <c r="F239" s="2">
        <v>0.1</v>
      </c>
      <c r="G239" s="39">
        <v>25.399999618530273</v>
      </c>
      <c r="H239">
        <v>0.19811552762985229</v>
      </c>
    </row>
    <row r="240" spans="1:8" x14ac:dyDescent="0.25">
      <c r="A240" s="2">
        <v>229</v>
      </c>
      <c r="B240" s="2">
        <v>0.1</v>
      </c>
      <c r="C240" s="2">
        <v>0.5</v>
      </c>
      <c r="D240" s="2">
        <v>0.95</v>
      </c>
      <c r="E240" s="2">
        <v>5.5</v>
      </c>
      <c r="F240" s="2">
        <v>0.3</v>
      </c>
      <c r="G240" s="39">
        <v>12.699999809265137</v>
      </c>
      <c r="H240">
        <v>0.18260073661804199</v>
      </c>
    </row>
    <row r="241" spans="1:8" x14ac:dyDescent="0.25">
      <c r="A241" s="2">
        <v>230</v>
      </c>
      <c r="B241" s="2">
        <v>0.1</v>
      </c>
      <c r="C241" s="2">
        <v>0.5</v>
      </c>
      <c r="D241" s="2">
        <v>0.95</v>
      </c>
      <c r="E241" s="2">
        <v>5.5</v>
      </c>
      <c r="F241" s="2">
        <v>0.3</v>
      </c>
      <c r="G241" s="39">
        <v>15.899999618530273</v>
      </c>
      <c r="H241">
        <v>0.14757584035396576</v>
      </c>
    </row>
    <row r="242" spans="1:8" x14ac:dyDescent="0.25">
      <c r="A242" s="2">
        <v>231</v>
      </c>
      <c r="B242" s="2">
        <v>0.1</v>
      </c>
      <c r="C242" s="2">
        <v>0.5</v>
      </c>
      <c r="D242" s="2">
        <v>0.95</v>
      </c>
      <c r="E242" s="2">
        <v>5.5</v>
      </c>
      <c r="F242" s="2">
        <v>0.3</v>
      </c>
      <c r="G242" s="39">
        <v>25.399999618530273</v>
      </c>
      <c r="H242">
        <v>0.13027156889438629</v>
      </c>
    </row>
    <row r="243" spans="1:8" x14ac:dyDescent="0.25">
      <c r="A243" s="2">
        <v>232</v>
      </c>
      <c r="B243" s="2">
        <v>0.1</v>
      </c>
      <c r="C243" s="2">
        <v>0.5</v>
      </c>
      <c r="D243" s="2">
        <v>0.95</v>
      </c>
      <c r="E243" s="2">
        <v>5.5</v>
      </c>
      <c r="F243" s="2">
        <v>0.5</v>
      </c>
      <c r="G243" s="39">
        <v>12.699999809265137</v>
      </c>
      <c r="H243">
        <v>0.30570203065872192</v>
      </c>
    </row>
    <row r="244" spans="1:8" x14ac:dyDescent="0.25">
      <c r="A244" s="2">
        <v>233</v>
      </c>
      <c r="B244" s="2">
        <v>0.1</v>
      </c>
      <c r="C244" s="2">
        <v>0.5</v>
      </c>
      <c r="D244" s="2">
        <v>0.95</v>
      </c>
      <c r="E244" s="2">
        <v>5.5</v>
      </c>
      <c r="F244" s="2">
        <v>0.5</v>
      </c>
      <c r="G244" s="39">
        <v>15.899999618530273</v>
      </c>
      <c r="H244">
        <v>0.24706488847732544</v>
      </c>
    </row>
    <row r="245" spans="1:8" x14ac:dyDescent="0.25">
      <c r="A245" s="2">
        <v>234</v>
      </c>
      <c r="B245" s="2">
        <v>0.1</v>
      </c>
      <c r="C245" s="2">
        <v>0.5</v>
      </c>
      <c r="D245" s="2">
        <v>0.95</v>
      </c>
      <c r="E245" s="2">
        <v>5.5</v>
      </c>
      <c r="F245" s="2">
        <v>0.5</v>
      </c>
      <c r="G245" s="39">
        <v>25.399999618530273</v>
      </c>
      <c r="H245">
        <v>0.21809485554695129</v>
      </c>
    </row>
    <row r="246" spans="1:8" x14ac:dyDescent="0.25">
      <c r="A246" s="2">
        <v>235</v>
      </c>
      <c r="B246" s="2">
        <v>0.1</v>
      </c>
      <c r="C246" s="2">
        <v>0.5</v>
      </c>
      <c r="D246" s="2">
        <v>0.95</v>
      </c>
      <c r="E246" s="2">
        <v>10</v>
      </c>
      <c r="F246" s="2">
        <v>0.1</v>
      </c>
      <c r="G246" s="39">
        <v>12.699999809265137</v>
      </c>
      <c r="H246">
        <v>8.4568127989768982E-2</v>
      </c>
    </row>
    <row r="247" spans="1:8" x14ac:dyDescent="0.25">
      <c r="A247" s="2">
        <v>236</v>
      </c>
      <c r="B247" s="2">
        <v>0.1</v>
      </c>
      <c r="C247" s="2">
        <v>0.5</v>
      </c>
      <c r="D247" s="2">
        <v>0.95</v>
      </c>
      <c r="E247" s="2">
        <v>10</v>
      </c>
      <c r="F247" s="2">
        <v>0.1</v>
      </c>
      <c r="G247" s="39">
        <v>15.899999618530273</v>
      </c>
      <c r="H247">
        <v>6.834699958562851E-2</v>
      </c>
    </row>
    <row r="248" spans="1:8" x14ac:dyDescent="0.25">
      <c r="A248" s="2">
        <v>237</v>
      </c>
      <c r="B248" s="2">
        <v>0.1</v>
      </c>
      <c r="C248" s="2">
        <v>0.5</v>
      </c>
      <c r="D248" s="2">
        <v>0.95</v>
      </c>
      <c r="E248" s="2">
        <v>10</v>
      </c>
      <c r="F248" s="2">
        <v>0.1</v>
      </c>
      <c r="G248" s="39">
        <v>25.399999618530273</v>
      </c>
      <c r="H248">
        <v>6.0332845896482468E-2</v>
      </c>
    </row>
    <row r="249" spans="1:8" x14ac:dyDescent="0.25">
      <c r="A249" s="2">
        <v>238</v>
      </c>
      <c r="B249" s="2">
        <v>0.1</v>
      </c>
      <c r="C249" s="2">
        <v>0.5</v>
      </c>
      <c r="D249" s="2">
        <v>0.95</v>
      </c>
      <c r="E249" s="2">
        <v>10</v>
      </c>
      <c r="F249" s="2">
        <v>0.3</v>
      </c>
      <c r="G249" s="39">
        <v>12.699999809265137</v>
      </c>
      <c r="H249">
        <v>7.1664981544017792E-2</v>
      </c>
    </row>
    <row r="250" spans="1:8" x14ac:dyDescent="0.25">
      <c r="A250" s="2">
        <v>239</v>
      </c>
      <c r="B250" s="2">
        <v>0.1</v>
      </c>
      <c r="C250" s="2">
        <v>0.5</v>
      </c>
      <c r="D250" s="2">
        <v>0.95</v>
      </c>
      <c r="E250" s="2">
        <v>10</v>
      </c>
      <c r="F250" s="2">
        <v>0.3</v>
      </c>
      <c r="G250" s="39">
        <v>15.899999618530273</v>
      </c>
      <c r="H250">
        <v>5.7918824255466461E-2</v>
      </c>
    </row>
    <row r="251" spans="1:8" x14ac:dyDescent="0.25">
      <c r="A251" s="2">
        <v>240</v>
      </c>
      <c r="B251" s="2">
        <v>0.1</v>
      </c>
      <c r="C251" s="2">
        <v>0.5</v>
      </c>
      <c r="D251" s="2">
        <v>0.95</v>
      </c>
      <c r="E251" s="2">
        <v>10</v>
      </c>
      <c r="F251" s="2">
        <v>0.3</v>
      </c>
      <c r="G251" s="39">
        <v>25.399999618530273</v>
      </c>
      <c r="H251">
        <v>5.1127444952726364E-2</v>
      </c>
    </row>
    <row r="252" spans="1:8" x14ac:dyDescent="0.25">
      <c r="A252" s="2">
        <v>241</v>
      </c>
      <c r="B252" s="2">
        <v>0.1</v>
      </c>
      <c r="C252" s="2">
        <v>0.5</v>
      </c>
      <c r="D252" s="2">
        <v>0.95</v>
      </c>
      <c r="E252" s="2">
        <v>10</v>
      </c>
      <c r="F252" s="2">
        <v>0.5</v>
      </c>
      <c r="G252" s="39">
        <v>12.699999809265137</v>
      </c>
      <c r="H252">
        <v>0.13770928978919983</v>
      </c>
    </row>
    <row r="253" spans="1:8" x14ac:dyDescent="0.25">
      <c r="A253" s="2">
        <v>242</v>
      </c>
      <c r="B253" s="2">
        <v>0.1</v>
      </c>
      <c r="C253" s="2">
        <v>0.5</v>
      </c>
      <c r="D253" s="2">
        <v>0.95</v>
      </c>
      <c r="E253" s="2">
        <v>10</v>
      </c>
      <c r="F253" s="2">
        <v>0.5</v>
      </c>
      <c r="G253" s="39">
        <v>15.899999618530273</v>
      </c>
      <c r="H253">
        <v>0.11129507422447205</v>
      </c>
    </row>
    <row r="254" spans="1:8" x14ac:dyDescent="0.25">
      <c r="A254" s="2">
        <v>243</v>
      </c>
      <c r="B254" s="2">
        <v>0.1</v>
      </c>
      <c r="C254" s="2">
        <v>0.5</v>
      </c>
      <c r="D254" s="2">
        <v>0.95</v>
      </c>
      <c r="E254" s="2">
        <v>10</v>
      </c>
      <c r="F254" s="2">
        <v>0.5</v>
      </c>
      <c r="G254" s="39">
        <v>25.399999618530273</v>
      </c>
      <c r="H254">
        <v>9.824497252702713E-2</v>
      </c>
    </row>
    <row r="255" spans="1:8" x14ac:dyDescent="0.25">
      <c r="A255" s="2">
        <v>244</v>
      </c>
      <c r="B255" s="2">
        <v>0.2</v>
      </c>
      <c r="C255" s="2">
        <v>0.1</v>
      </c>
      <c r="D255" s="2">
        <v>0.7</v>
      </c>
      <c r="E255" s="2">
        <v>1</v>
      </c>
      <c r="F255" s="2">
        <v>0.1</v>
      </c>
      <c r="G255" s="39">
        <v>12.699999809265137</v>
      </c>
      <c r="H255">
        <v>4.2325272560119629</v>
      </c>
    </row>
    <row r="256" spans="1:8" x14ac:dyDescent="0.25">
      <c r="A256" s="2">
        <v>245</v>
      </c>
      <c r="B256" s="2">
        <v>0.2</v>
      </c>
      <c r="C256" s="2">
        <v>0.1</v>
      </c>
      <c r="D256" s="2">
        <v>0.7</v>
      </c>
      <c r="E256" s="2">
        <v>1</v>
      </c>
      <c r="F256" s="2">
        <v>0.1</v>
      </c>
      <c r="G256" s="39">
        <v>15.899999618530273</v>
      </c>
      <c r="H256">
        <v>3.4206802845001221</v>
      </c>
    </row>
    <row r="257" spans="1:8" x14ac:dyDescent="0.25">
      <c r="A257" s="2">
        <v>246</v>
      </c>
      <c r="B257" s="2">
        <v>0.2</v>
      </c>
      <c r="C257" s="2">
        <v>0.1</v>
      </c>
      <c r="D257" s="2">
        <v>0.7</v>
      </c>
      <c r="E257" s="2">
        <v>1</v>
      </c>
      <c r="F257" s="2">
        <v>0.1</v>
      </c>
      <c r="G257" s="39">
        <v>25.399999618530273</v>
      </c>
      <c r="H257">
        <v>3.0195822715759277</v>
      </c>
    </row>
    <row r="258" spans="1:8" x14ac:dyDescent="0.25">
      <c r="A258" s="2">
        <v>247</v>
      </c>
      <c r="B258" s="2">
        <v>0.2</v>
      </c>
      <c r="C258" s="2">
        <v>0.1</v>
      </c>
      <c r="D258" s="2">
        <v>0.7</v>
      </c>
      <c r="E258" s="2">
        <v>1</v>
      </c>
      <c r="F258" s="2">
        <v>0.3</v>
      </c>
      <c r="G258" s="39">
        <v>12.699999809265137</v>
      </c>
      <c r="H258">
        <v>11.041921615600586</v>
      </c>
    </row>
    <row r="259" spans="1:8" x14ac:dyDescent="0.25">
      <c r="A259" s="2">
        <v>248</v>
      </c>
      <c r="B259" s="2">
        <v>0.2</v>
      </c>
      <c r="C259" s="2">
        <v>0.1</v>
      </c>
      <c r="D259" s="2">
        <v>0.7</v>
      </c>
      <c r="E259" s="2">
        <v>1</v>
      </c>
      <c r="F259" s="2">
        <v>0.3</v>
      </c>
      <c r="G259" s="39">
        <v>15.899999618530273</v>
      </c>
      <c r="H259">
        <v>8.923954963684082</v>
      </c>
    </row>
    <row r="260" spans="1:8" x14ac:dyDescent="0.25">
      <c r="A260" s="2">
        <v>249</v>
      </c>
      <c r="B260" s="2">
        <v>0.2</v>
      </c>
      <c r="C260" s="2">
        <v>0.1</v>
      </c>
      <c r="D260" s="2">
        <v>0.7</v>
      </c>
      <c r="E260" s="2">
        <v>1</v>
      </c>
      <c r="F260" s="2">
        <v>0.3</v>
      </c>
      <c r="G260" s="39">
        <v>25.399999618530273</v>
      </c>
      <c r="H260">
        <v>7.8775606155395508</v>
      </c>
    </row>
    <row r="261" spans="1:8" x14ac:dyDescent="0.25">
      <c r="A261" s="2">
        <v>250</v>
      </c>
      <c r="B261" s="2">
        <v>0.2</v>
      </c>
      <c r="C261" s="2">
        <v>0.1</v>
      </c>
      <c r="D261" s="2">
        <v>0.7</v>
      </c>
      <c r="E261" s="2">
        <v>1</v>
      </c>
      <c r="F261" s="2">
        <v>0.5</v>
      </c>
      <c r="G261" s="39">
        <v>12.699999809265137</v>
      </c>
      <c r="H261">
        <v>28.867214202880859</v>
      </c>
    </row>
    <row r="262" spans="1:8" x14ac:dyDescent="0.25">
      <c r="A262" s="2">
        <v>251</v>
      </c>
      <c r="B262" s="2">
        <v>0.2</v>
      </c>
      <c r="C262" s="2">
        <v>0.1</v>
      </c>
      <c r="D262" s="2">
        <v>0.7</v>
      </c>
      <c r="E262" s="2">
        <v>1</v>
      </c>
      <c r="F262" s="2">
        <v>0.5</v>
      </c>
      <c r="G262" s="39">
        <v>15.899999618530273</v>
      </c>
      <c r="H262">
        <v>23.33015251159668</v>
      </c>
    </row>
    <row r="263" spans="1:8" x14ac:dyDescent="0.25">
      <c r="A263" s="2">
        <v>252</v>
      </c>
      <c r="B263" s="2">
        <v>0.2</v>
      </c>
      <c r="C263" s="2">
        <v>0.1</v>
      </c>
      <c r="D263" s="2">
        <v>0.7</v>
      </c>
      <c r="E263" s="2">
        <v>1</v>
      </c>
      <c r="F263" s="2">
        <v>0.5</v>
      </c>
      <c r="G263" s="39">
        <v>25.399999618530273</v>
      </c>
      <c r="H263">
        <v>20.594533920288086</v>
      </c>
    </row>
    <row r="264" spans="1:8" x14ac:dyDescent="0.25">
      <c r="A264" s="2">
        <v>253</v>
      </c>
      <c r="B264" s="2">
        <v>0.2</v>
      </c>
      <c r="C264" s="2">
        <v>0.1</v>
      </c>
      <c r="D264" s="2">
        <v>0.7</v>
      </c>
      <c r="E264" s="2">
        <v>5.5</v>
      </c>
      <c r="F264" s="2">
        <v>0.1</v>
      </c>
      <c r="G264" s="39">
        <v>12.699999809265137</v>
      </c>
      <c r="H264">
        <v>9.7575979232788086</v>
      </c>
    </row>
    <row r="265" spans="1:8" x14ac:dyDescent="0.25">
      <c r="A265" s="2">
        <v>254</v>
      </c>
      <c r="B265" s="2">
        <v>0.2</v>
      </c>
      <c r="C265" s="2">
        <v>0.1</v>
      </c>
      <c r="D265" s="2">
        <v>0.7</v>
      </c>
      <c r="E265" s="2">
        <v>5.5</v>
      </c>
      <c r="F265" s="2">
        <v>0.1</v>
      </c>
      <c r="G265" s="39">
        <v>15.899999618530273</v>
      </c>
      <c r="H265">
        <v>7.885979175567627</v>
      </c>
    </row>
    <row r="266" spans="1:8" x14ac:dyDescent="0.25">
      <c r="A266" s="2">
        <v>255</v>
      </c>
      <c r="B266" s="2">
        <v>0.2</v>
      </c>
      <c r="C266" s="2">
        <v>0.1</v>
      </c>
      <c r="D266" s="2">
        <v>0.7</v>
      </c>
      <c r="E266" s="2">
        <v>5.5</v>
      </c>
      <c r="F266" s="2">
        <v>0.1</v>
      </c>
      <c r="G266" s="39">
        <v>25.399999618530273</v>
      </c>
      <c r="H266">
        <v>6.9612946510314941</v>
      </c>
    </row>
    <row r="267" spans="1:8" x14ac:dyDescent="0.25">
      <c r="A267" s="2">
        <v>256</v>
      </c>
      <c r="B267" s="2">
        <v>0.2</v>
      </c>
      <c r="C267" s="2">
        <v>0.1</v>
      </c>
      <c r="D267" s="2">
        <v>0.7</v>
      </c>
      <c r="E267" s="2">
        <v>5.5</v>
      </c>
      <c r="F267" s="2">
        <v>0.3</v>
      </c>
      <c r="G267" s="39">
        <v>12.699999809265137</v>
      </c>
      <c r="H267">
        <v>6.5993175506591797</v>
      </c>
    </row>
    <row r="268" spans="1:8" x14ac:dyDescent="0.25">
      <c r="A268" s="2">
        <v>257</v>
      </c>
      <c r="B268" s="2">
        <v>0.2</v>
      </c>
      <c r="C268" s="2">
        <v>0.1</v>
      </c>
      <c r="D268" s="2">
        <v>0.7</v>
      </c>
      <c r="E268" s="2">
        <v>5.5</v>
      </c>
      <c r="F268" s="2">
        <v>0.3</v>
      </c>
      <c r="G268" s="39">
        <v>15.899999618530273</v>
      </c>
      <c r="H268">
        <v>5.3334932327270508</v>
      </c>
    </row>
    <row r="269" spans="1:8" x14ac:dyDescent="0.25">
      <c r="A269" s="2">
        <v>258</v>
      </c>
      <c r="B269" s="2">
        <v>0.2</v>
      </c>
      <c r="C269" s="2">
        <v>0.1</v>
      </c>
      <c r="D269" s="2">
        <v>0.7</v>
      </c>
      <c r="E269" s="2">
        <v>5.5</v>
      </c>
      <c r="F269" s="2">
        <v>0.3</v>
      </c>
      <c r="G269" s="39">
        <v>25.399999618530273</v>
      </c>
      <c r="H269">
        <v>4.7081050872802734</v>
      </c>
    </row>
    <row r="270" spans="1:8" x14ac:dyDescent="0.25">
      <c r="A270" s="2">
        <v>259</v>
      </c>
      <c r="B270" s="2">
        <v>0.2</v>
      </c>
      <c r="C270" s="2">
        <v>0.1</v>
      </c>
      <c r="D270" s="2">
        <v>0.7</v>
      </c>
      <c r="E270" s="2">
        <v>5.5</v>
      </c>
      <c r="F270" s="2">
        <v>0.5</v>
      </c>
      <c r="G270" s="39">
        <v>12.699999809265137</v>
      </c>
      <c r="H270">
        <v>11.447165489196777</v>
      </c>
    </row>
    <row r="271" spans="1:8" x14ac:dyDescent="0.25">
      <c r="A271" s="2">
        <v>260</v>
      </c>
      <c r="B271" s="2">
        <v>0.2</v>
      </c>
      <c r="C271" s="2">
        <v>0.1</v>
      </c>
      <c r="D271" s="2">
        <v>0.7</v>
      </c>
      <c r="E271" s="2">
        <v>5.5</v>
      </c>
      <c r="F271" s="2">
        <v>0.5</v>
      </c>
      <c r="G271" s="39">
        <v>15.899999618530273</v>
      </c>
      <c r="H271">
        <v>9.2514686584472656</v>
      </c>
    </row>
    <row r="272" spans="1:8" x14ac:dyDescent="0.25">
      <c r="A272" s="2">
        <v>261</v>
      </c>
      <c r="B272" s="2">
        <v>0.2</v>
      </c>
      <c r="C272" s="2">
        <v>0.1</v>
      </c>
      <c r="D272" s="2">
        <v>0.7</v>
      </c>
      <c r="E272" s="2">
        <v>5.5</v>
      </c>
      <c r="F272" s="2">
        <v>0.5</v>
      </c>
      <c r="G272" s="39">
        <v>25.399999618530273</v>
      </c>
      <c r="H272">
        <v>8.1666707992553711</v>
      </c>
    </row>
    <row r="273" spans="1:8" x14ac:dyDescent="0.25">
      <c r="A273" s="2">
        <v>262</v>
      </c>
      <c r="B273" s="2">
        <v>0.2</v>
      </c>
      <c r="C273" s="2">
        <v>0.1</v>
      </c>
      <c r="D273" s="2">
        <v>0.7</v>
      </c>
      <c r="E273" s="2">
        <v>10</v>
      </c>
      <c r="F273" s="2">
        <v>0.1</v>
      </c>
      <c r="G273" s="39">
        <v>12.699999809265137</v>
      </c>
      <c r="H273">
        <v>9.5920085906982422</v>
      </c>
    </row>
    <row r="274" spans="1:8" x14ac:dyDescent="0.25">
      <c r="A274" s="2">
        <v>263</v>
      </c>
      <c r="B274" s="2">
        <v>0.2</v>
      </c>
      <c r="C274" s="2">
        <v>0.1</v>
      </c>
      <c r="D274" s="2">
        <v>0.7</v>
      </c>
      <c r="E274" s="2">
        <v>10</v>
      </c>
      <c r="F274" s="2">
        <v>0.1</v>
      </c>
      <c r="G274" s="39">
        <v>15.899999618530273</v>
      </c>
      <c r="H274">
        <v>7.7521524429321289</v>
      </c>
    </row>
    <row r="275" spans="1:8" x14ac:dyDescent="0.25">
      <c r="A275" s="2">
        <v>264</v>
      </c>
      <c r="B275" s="2">
        <v>0.2</v>
      </c>
      <c r="C275" s="2">
        <v>0.1</v>
      </c>
      <c r="D275" s="2">
        <v>0.7</v>
      </c>
      <c r="E275" s="2">
        <v>10</v>
      </c>
      <c r="F275" s="2">
        <v>0.1</v>
      </c>
      <c r="G275" s="39">
        <v>25.399999618530273</v>
      </c>
      <c r="H275">
        <v>6.8431596755981445</v>
      </c>
    </row>
    <row r="276" spans="1:8" x14ac:dyDescent="0.25">
      <c r="A276" s="2">
        <v>265</v>
      </c>
      <c r="B276" s="2">
        <v>0.2</v>
      </c>
      <c r="C276" s="2">
        <v>0.1</v>
      </c>
      <c r="D276" s="2">
        <v>0.7</v>
      </c>
      <c r="E276" s="2">
        <v>10</v>
      </c>
      <c r="F276" s="2">
        <v>0.3</v>
      </c>
      <c r="G276" s="39">
        <v>12.699999809265137</v>
      </c>
      <c r="H276">
        <v>5.9931998252868652</v>
      </c>
    </row>
    <row r="277" spans="1:8" x14ac:dyDescent="0.25">
      <c r="A277" s="2">
        <v>266</v>
      </c>
      <c r="B277" s="2">
        <v>0.2</v>
      </c>
      <c r="C277" s="2">
        <v>0.1</v>
      </c>
      <c r="D277" s="2">
        <v>0.7</v>
      </c>
      <c r="E277" s="2">
        <v>10</v>
      </c>
      <c r="F277" s="2">
        <v>0.3</v>
      </c>
      <c r="G277" s="39">
        <v>15.899999618530273</v>
      </c>
      <c r="H277">
        <v>4.8436355590820313</v>
      </c>
    </row>
    <row r="278" spans="1:8" x14ac:dyDescent="0.25">
      <c r="A278" s="2">
        <v>267</v>
      </c>
      <c r="B278" s="2">
        <v>0.2</v>
      </c>
      <c r="C278" s="2">
        <v>0.1</v>
      </c>
      <c r="D278" s="2">
        <v>0.7</v>
      </c>
      <c r="E278" s="2">
        <v>10</v>
      </c>
      <c r="F278" s="2">
        <v>0.3</v>
      </c>
      <c r="G278" s="39">
        <v>25.399999618530273</v>
      </c>
      <c r="H278">
        <v>4.2756867408752441</v>
      </c>
    </row>
    <row r="279" spans="1:8" x14ac:dyDescent="0.25">
      <c r="A279" s="2">
        <v>268</v>
      </c>
      <c r="B279" s="2">
        <v>0.2</v>
      </c>
      <c r="C279" s="2">
        <v>0.1</v>
      </c>
      <c r="D279" s="2">
        <v>0.7</v>
      </c>
      <c r="E279" s="2">
        <v>10</v>
      </c>
      <c r="F279" s="2">
        <v>0.5</v>
      </c>
      <c r="G279" s="39">
        <v>12.699999809265137</v>
      </c>
      <c r="H279">
        <v>9.8089637756347656</v>
      </c>
    </row>
    <row r="280" spans="1:8" x14ac:dyDescent="0.25">
      <c r="A280" s="2">
        <v>269</v>
      </c>
      <c r="B280" s="2">
        <v>0.2</v>
      </c>
      <c r="C280" s="2">
        <v>0.1</v>
      </c>
      <c r="D280" s="2">
        <v>0.7</v>
      </c>
      <c r="E280" s="2">
        <v>10</v>
      </c>
      <c r="F280" s="2">
        <v>0.5</v>
      </c>
      <c r="G280" s="39">
        <v>15.899999618530273</v>
      </c>
      <c r="H280">
        <v>7.927492618560791</v>
      </c>
    </row>
    <row r="281" spans="1:8" x14ac:dyDescent="0.25">
      <c r="A281" s="2">
        <v>270</v>
      </c>
      <c r="B281" s="2">
        <v>0.2</v>
      </c>
      <c r="C281" s="2">
        <v>0.1</v>
      </c>
      <c r="D281" s="2">
        <v>0.7</v>
      </c>
      <c r="E281" s="2">
        <v>10</v>
      </c>
      <c r="F281" s="2">
        <v>0.5</v>
      </c>
      <c r="G281" s="39">
        <v>25.399999618530273</v>
      </c>
      <c r="H281">
        <v>6.9979400634765625</v>
      </c>
    </row>
    <row r="282" spans="1:8" x14ac:dyDescent="0.25">
      <c r="A282" s="2">
        <v>271</v>
      </c>
      <c r="B282" s="2">
        <v>0.2</v>
      </c>
      <c r="C282" s="2">
        <v>0.1</v>
      </c>
      <c r="D282" s="2">
        <v>0.82499999999999996</v>
      </c>
      <c r="E282" s="2">
        <v>1</v>
      </c>
      <c r="F282" s="2">
        <v>0.1</v>
      </c>
      <c r="G282" s="39">
        <v>12.699999809265137</v>
      </c>
      <c r="H282">
        <v>2.9521393775939941</v>
      </c>
    </row>
    <row r="283" spans="1:8" x14ac:dyDescent="0.25">
      <c r="A283" s="2">
        <v>272</v>
      </c>
      <c r="B283" s="2">
        <v>0.2</v>
      </c>
      <c r="C283" s="2">
        <v>0.1</v>
      </c>
      <c r="D283" s="2">
        <v>0.82499999999999996</v>
      </c>
      <c r="E283" s="2">
        <v>1</v>
      </c>
      <c r="F283" s="2">
        <v>0.1</v>
      </c>
      <c r="G283" s="39">
        <v>15.899999618530273</v>
      </c>
      <c r="H283">
        <v>2.38588547706604</v>
      </c>
    </row>
    <row r="284" spans="1:8" x14ac:dyDescent="0.25">
      <c r="A284" s="2">
        <v>273</v>
      </c>
      <c r="B284" s="2">
        <v>0.2</v>
      </c>
      <c r="C284" s="2">
        <v>0.1</v>
      </c>
      <c r="D284" s="2">
        <v>0.82499999999999996</v>
      </c>
      <c r="E284" s="2">
        <v>1</v>
      </c>
      <c r="F284" s="2">
        <v>0.1</v>
      </c>
      <c r="G284" s="39">
        <v>25.399999618530273</v>
      </c>
      <c r="H284">
        <v>2.1061241626739502</v>
      </c>
    </row>
    <row r="285" spans="1:8" x14ac:dyDescent="0.25">
      <c r="A285" s="2">
        <v>274</v>
      </c>
      <c r="B285" s="2">
        <v>0.2</v>
      </c>
      <c r="C285" s="2">
        <v>0.1</v>
      </c>
      <c r="D285" s="2">
        <v>0.82499999999999996</v>
      </c>
      <c r="E285" s="2">
        <v>1</v>
      </c>
      <c r="F285" s="2">
        <v>0.3</v>
      </c>
      <c r="G285" s="39">
        <v>12.699999809265137</v>
      </c>
      <c r="H285">
        <v>7.7016143798828125</v>
      </c>
    </row>
    <row r="286" spans="1:8" x14ac:dyDescent="0.25">
      <c r="A286" s="2">
        <v>275</v>
      </c>
      <c r="B286" s="2">
        <v>0.2</v>
      </c>
      <c r="C286" s="2">
        <v>0.1</v>
      </c>
      <c r="D286" s="2">
        <v>0.82499999999999996</v>
      </c>
      <c r="E286" s="2">
        <v>1</v>
      </c>
      <c r="F286" s="2">
        <v>0.3</v>
      </c>
      <c r="G286" s="39">
        <v>15.899999618530273</v>
      </c>
      <c r="H286">
        <v>6.2243566513061523</v>
      </c>
    </row>
    <row r="287" spans="1:8" x14ac:dyDescent="0.25">
      <c r="A287" s="2">
        <v>276</v>
      </c>
      <c r="B287" s="2">
        <v>0.2</v>
      </c>
      <c r="C287" s="2">
        <v>0.1</v>
      </c>
      <c r="D287" s="2">
        <v>0.82499999999999996</v>
      </c>
      <c r="E287" s="2">
        <v>1</v>
      </c>
      <c r="F287" s="2">
        <v>0.3</v>
      </c>
      <c r="G287" s="39">
        <v>25.399999618530273</v>
      </c>
      <c r="H287">
        <v>5.4945087432861328</v>
      </c>
    </row>
    <row r="288" spans="1:8" x14ac:dyDescent="0.25">
      <c r="A288" s="2">
        <v>277</v>
      </c>
      <c r="B288" s="2">
        <v>0.2</v>
      </c>
      <c r="C288" s="2">
        <v>0.1</v>
      </c>
      <c r="D288" s="2">
        <v>0.82499999999999996</v>
      </c>
      <c r="E288" s="2">
        <v>1</v>
      </c>
      <c r="F288" s="2">
        <v>0.5</v>
      </c>
      <c r="G288" s="39">
        <v>12.699999809265137</v>
      </c>
      <c r="H288">
        <v>20.134552001953125</v>
      </c>
    </row>
    <row r="289" spans="1:8" x14ac:dyDescent="0.25">
      <c r="A289" s="2">
        <v>278</v>
      </c>
      <c r="B289" s="2">
        <v>0.2</v>
      </c>
      <c r="C289" s="2">
        <v>0.1</v>
      </c>
      <c r="D289" s="2">
        <v>0.82499999999999996</v>
      </c>
      <c r="E289" s="2">
        <v>1</v>
      </c>
      <c r="F289" s="2">
        <v>0.5</v>
      </c>
      <c r="G289" s="39">
        <v>15.899999618530273</v>
      </c>
      <c r="H289">
        <v>16.272514343261719</v>
      </c>
    </row>
    <row r="290" spans="1:8" x14ac:dyDescent="0.25">
      <c r="A290" s="2">
        <v>279</v>
      </c>
      <c r="B290" s="2">
        <v>0.2</v>
      </c>
      <c r="C290" s="2">
        <v>0.1</v>
      </c>
      <c r="D290" s="2">
        <v>0.82499999999999996</v>
      </c>
      <c r="E290" s="2">
        <v>1</v>
      </c>
      <c r="F290" s="2">
        <v>0.5</v>
      </c>
      <c r="G290" s="39">
        <v>25.399999618530273</v>
      </c>
      <c r="H290">
        <v>14.364452362060547</v>
      </c>
    </row>
    <row r="291" spans="1:8" x14ac:dyDescent="0.25">
      <c r="A291" s="2">
        <v>280</v>
      </c>
      <c r="B291" s="2">
        <v>0.2</v>
      </c>
      <c r="C291" s="2">
        <v>0.1</v>
      </c>
      <c r="D291" s="2">
        <v>0.82499999999999996</v>
      </c>
      <c r="E291" s="2">
        <v>5.5</v>
      </c>
      <c r="F291" s="2">
        <v>0.1</v>
      </c>
      <c r="G291" s="39">
        <v>12.699999809265137</v>
      </c>
      <c r="H291">
        <v>6.8058128356933594</v>
      </c>
    </row>
    <row r="292" spans="1:8" x14ac:dyDescent="0.25">
      <c r="A292" s="2">
        <v>281</v>
      </c>
      <c r="B292" s="2">
        <v>0.2</v>
      </c>
      <c r="C292" s="2">
        <v>0.1</v>
      </c>
      <c r="D292" s="2">
        <v>0.82499999999999996</v>
      </c>
      <c r="E292" s="2">
        <v>5.5</v>
      </c>
      <c r="F292" s="2">
        <v>0.1</v>
      </c>
      <c r="G292" s="39">
        <v>15.899999618530273</v>
      </c>
      <c r="H292">
        <v>5.5003805160522461</v>
      </c>
    </row>
    <row r="293" spans="1:8" x14ac:dyDescent="0.25">
      <c r="A293" s="2">
        <v>282</v>
      </c>
      <c r="B293" s="2">
        <v>0.2</v>
      </c>
      <c r="C293" s="2">
        <v>0.1</v>
      </c>
      <c r="D293" s="2">
        <v>0.82499999999999996</v>
      </c>
      <c r="E293" s="2">
        <v>5.5</v>
      </c>
      <c r="F293" s="2">
        <v>0.1</v>
      </c>
      <c r="G293" s="39">
        <v>25.399999618530273</v>
      </c>
      <c r="H293">
        <v>4.8554234504699707</v>
      </c>
    </row>
    <row r="294" spans="1:8" x14ac:dyDescent="0.25">
      <c r="A294" s="2">
        <v>283</v>
      </c>
      <c r="B294" s="2">
        <v>0.2</v>
      </c>
      <c r="C294" s="2">
        <v>0.1</v>
      </c>
      <c r="D294" s="2">
        <v>0.82499999999999996</v>
      </c>
      <c r="E294" s="2">
        <v>5.5</v>
      </c>
      <c r="F294" s="2">
        <v>0.3</v>
      </c>
      <c r="G294" s="39">
        <v>12.699999809265137</v>
      </c>
      <c r="H294">
        <v>4.6029486656188965</v>
      </c>
    </row>
    <row r="295" spans="1:8" x14ac:dyDescent="0.25">
      <c r="A295" s="2">
        <v>284</v>
      </c>
      <c r="B295" s="2">
        <v>0.2</v>
      </c>
      <c r="C295" s="2">
        <v>0.1</v>
      </c>
      <c r="D295" s="2">
        <v>0.82499999999999996</v>
      </c>
      <c r="E295" s="2">
        <v>5.5</v>
      </c>
      <c r="F295" s="2">
        <v>0.3</v>
      </c>
      <c r="G295" s="39">
        <v>15.899999618530273</v>
      </c>
      <c r="H295">
        <v>3.720050573348999</v>
      </c>
    </row>
    <row r="296" spans="1:8" x14ac:dyDescent="0.25">
      <c r="A296" s="2">
        <v>285</v>
      </c>
      <c r="B296" s="2">
        <v>0.2</v>
      </c>
      <c r="C296" s="2">
        <v>0.1</v>
      </c>
      <c r="D296" s="2">
        <v>0.82499999999999996</v>
      </c>
      <c r="E296" s="2">
        <v>5.5</v>
      </c>
      <c r="F296" s="2">
        <v>0.3</v>
      </c>
      <c r="G296" s="39">
        <v>25.399999618530273</v>
      </c>
      <c r="H296">
        <v>3.2838494777679443</v>
      </c>
    </row>
    <row r="297" spans="1:8" x14ac:dyDescent="0.25">
      <c r="A297" s="2">
        <v>286</v>
      </c>
      <c r="B297" s="2">
        <v>0.2</v>
      </c>
      <c r="C297" s="2">
        <v>0.1</v>
      </c>
      <c r="D297" s="2">
        <v>0.82499999999999996</v>
      </c>
      <c r="E297" s="2">
        <v>5.5</v>
      </c>
      <c r="F297" s="2">
        <v>0.5</v>
      </c>
      <c r="G297" s="39">
        <v>12.699999809265137</v>
      </c>
      <c r="H297">
        <v>7.9842672348022461</v>
      </c>
    </row>
    <row r="298" spans="1:8" x14ac:dyDescent="0.25">
      <c r="A298" s="2">
        <v>287</v>
      </c>
      <c r="B298" s="2">
        <v>0.2</v>
      </c>
      <c r="C298" s="2">
        <v>0.1</v>
      </c>
      <c r="D298" s="2">
        <v>0.82499999999999996</v>
      </c>
      <c r="E298" s="2">
        <v>5.5</v>
      </c>
      <c r="F298" s="2">
        <v>0.5</v>
      </c>
      <c r="G298" s="39">
        <v>15.899999618530273</v>
      </c>
      <c r="H298">
        <v>6.4527935981750488</v>
      </c>
    </row>
    <row r="299" spans="1:8" x14ac:dyDescent="0.25">
      <c r="A299" s="2">
        <v>288</v>
      </c>
      <c r="B299" s="2">
        <v>0.2</v>
      </c>
      <c r="C299" s="2">
        <v>0.1</v>
      </c>
      <c r="D299" s="2">
        <v>0.82499999999999996</v>
      </c>
      <c r="E299" s="2">
        <v>5.5</v>
      </c>
      <c r="F299" s="2">
        <v>0.5</v>
      </c>
      <c r="G299" s="39">
        <v>25.399999618530273</v>
      </c>
      <c r="H299">
        <v>5.696159839630127</v>
      </c>
    </row>
    <row r="300" spans="1:8" x14ac:dyDescent="0.25">
      <c r="A300" s="2">
        <v>289</v>
      </c>
      <c r="B300" s="2">
        <v>0.2</v>
      </c>
      <c r="C300" s="2">
        <v>0.1</v>
      </c>
      <c r="D300" s="2">
        <v>0.82499999999999996</v>
      </c>
      <c r="E300" s="2">
        <v>10</v>
      </c>
      <c r="F300" s="2">
        <v>0.1</v>
      </c>
      <c r="G300" s="39">
        <v>12.699999809265137</v>
      </c>
      <c r="H300">
        <v>6.6903166770935059</v>
      </c>
    </row>
    <row r="301" spans="1:8" x14ac:dyDescent="0.25">
      <c r="A301" s="2">
        <v>290</v>
      </c>
      <c r="B301" s="2">
        <v>0.2</v>
      </c>
      <c r="C301" s="2">
        <v>0.1</v>
      </c>
      <c r="D301" s="2">
        <v>0.82499999999999996</v>
      </c>
      <c r="E301" s="2">
        <v>10</v>
      </c>
      <c r="F301" s="2">
        <v>0.1</v>
      </c>
      <c r="G301" s="39">
        <v>15.899999618530273</v>
      </c>
      <c r="H301">
        <v>5.4070377349853516</v>
      </c>
    </row>
    <row r="302" spans="1:8" x14ac:dyDescent="0.25">
      <c r="A302" s="2">
        <v>291</v>
      </c>
      <c r="B302" s="2">
        <v>0.2</v>
      </c>
      <c r="C302" s="2">
        <v>0.1</v>
      </c>
      <c r="D302" s="2">
        <v>0.82499999999999996</v>
      </c>
      <c r="E302" s="2">
        <v>10</v>
      </c>
      <c r="F302" s="2">
        <v>0.1</v>
      </c>
      <c r="G302" s="39">
        <v>25.399999618530273</v>
      </c>
      <c r="H302">
        <v>4.7730259895324707</v>
      </c>
    </row>
    <row r="303" spans="1:8" x14ac:dyDescent="0.25">
      <c r="A303" s="2">
        <v>292</v>
      </c>
      <c r="B303" s="2">
        <v>0.2</v>
      </c>
      <c r="C303" s="2">
        <v>0.1</v>
      </c>
      <c r="D303" s="2">
        <v>0.82499999999999996</v>
      </c>
      <c r="E303" s="2">
        <v>10</v>
      </c>
      <c r="F303" s="2">
        <v>0.3</v>
      </c>
      <c r="G303" s="39">
        <v>12.699999809265137</v>
      </c>
      <c r="H303">
        <v>4.1801886558532715</v>
      </c>
    </row>
    <row r="304" spans="1:8" x14ac:dyDescent="0.25">
      <c r="A304" s="2">
        <v>293</v>
      </c>
      <c r="B304" s="2">
        <v>0.2</v>
      </c>
      <c r="C304" s="2">
        <v>0.1</v>
      </c>
      <c r="D304" s="2">
        <v>0.82499999999999996</v>
      </c>
      <c r="E304" s="2">
        <v>10</v>
      </c>
      <c r="F304" s="2">
        <v>0.3</v>
      </c>
      <c r="G304" s="39">
        <v>15.899999618530273</v>
      </c>
      <c r="H304">
        <v>3.3783807754516602</v>
      </c>
    </row>
    <row r="305" spans="1:8" x14ac:dyDescent="0.25">
      <c r="A305" s="2">
        <v>294</v>
      </c>
      <c r="B305" s="2">
        <v>0.2</v>
      </c>
      <c r="C305" s="2">
        <v>0.1</v>
      </c>
      <c r="D305" s="2">
        <v>0.82499999999999996</v>
      </c>
      <c r="E305" s="2">
        <v>10</v>
      </c>
      <c r="F305" s="2">
        <v>0.3</v>
      </c>
      <c r="G305" s="39">
        <v>25.399999618530273</v>
      </c>
      <c r="H305">
        <v>2.9822425842285156</v>
      </c>
    </row>
    <row r="306" spans="1:8" x14ac:dyDescent="0.25">
      <c r="A306" s="2">
        <v>295</v>
      </c>
      <c r="B306" s="2">
        <v>0.2</v>
      </c>
      <c r="C306" s="2">
        <v>0.1</v>
      </c>
      <c r="D306" s="2">
        <v>0.82499999999999996</v>
      </c>
      <c r="E306" s="2">
        <v>10</v>
      </c>
      <c r="F306" s="2">
        <v>0.5</v>
      </c>
      <c r="G306" s="39">
        <v>12.699999809265137</v>
      </c>
      <c r="H306">
        <v>6.8416399955749512</v>
      </c>
    </row>
    <row r="307" spans="1:8" x14ac:dyDescent="0.25">
      <c r="A307" s="2">
        <v>296</v>
      </c>
      <c r="B307" s="2">
        <v>0.2</v>
      </c>
      <c r="C307" s="2">
        <v>0.1</v>
      </c>
      <c r="D307" s="2">
        <v>0.82499999999999996</v>
      </c>
      <c r="E307" s="2">
        <v>10</v>
      </c>
      <c r="F307" s="2">
        <v>0.5</v>
      </c>
      <c r="G307" s="39">
        <v>15.899999618530273</v>
      </c>
      <c r="H307">
        <v>5.5293354988098145</v>
      </c>
    </row>
    <row r="308" spans="1:8" x14ac:dyDescent="0.25">
      <c r="A308" s="2">
        <v>297</v>
      </c>
      <c r="B308" s="2">
        <v>0.2</v>
      </c>
      <c r="C308" s="2">
        <v>0.1</v>
      </c>
      <c r="D308" s="2">
        <v>0.82499999999999996</v>
      </c>
      <c r="E308" s="2">
        <v>10</v>
      </c>
      <c r="F308" s="2">
        <v>0.5</v>
      </c>
      <c r="G308" s="39">
        <v>25.399999618530273</v>
      </c>
      <c r="H308">
        <v>4.8809833526611328</v>
      </c>
    </row>
    <row r="309" spans="1:8" x14ac:dyDescent="0.25">
      <c r="A309" s="2">
        <v>298</v>
      </c>
      <c r="B309" s="2">
        <v>0.2</v>
      </c>
      <c r="C309" s="2">
        <v>0.1</v>
      </c>
      <c r="D309" s="2">
        <v>0.95</v>
      </c>
      <c r="E309" s="2">
        <v>1</v>
      </c>
      <c r="F309" s="2">
        <v>0.1</v>
      </c>
      <c r="G309" s="39">
        <v>12.699999809265137</v>
      </c>
      <c r="H309">
        <v>1.6717516183853149</v>
      </c>
    </row>
    <row r="310" spans="1:8" x14ac:dyDescent="0.25">
      <c r="A310" s="2">
        <v>299</v>
      </c>
      <c r="B310" s="2">
        <v>0.2</v>
      </c>
      <c r="C310" s="2">
        <v>0.1</v>
      </c>
      <c r="D310" s="2">
        <v>0.95</v>
      </c>
      <c r="E310" s="2">
        <v>1</v>
      </c>
      <c r="F310" s="2">
        <v>0.1</v>
      </c>
      <c r="G310" s="39">
        <v>15.899999618530273</v>
      </c>
      <c r="H310">
        <v>1.3510905504226685</v>
      </c>
    </row>
    <row r="311" spans="1:8" x14ac:dyDescent="0.25">
      <c r="A311" s="2">
        <v>300</v>
      </c>
      <c r="B311" s="2">
        <v>0.2</v>
      </c>
      <c r="C311" s="2">
        <v>0.1</v>
      </c>
      <c r="D311" s="2">
        <v>0.95</v>
      </c>
      <c r="E311" s="2">
        <v>1</v>
      </c>
      <c r="F311" s="2">
        <v>0.1</v>
      </c>
      <c r="G311" s="39">
        <v>25.399999618530273</v>
      </c>
      <c r="H311">
        <v>1.1926660537719727</v>
      </c>
    </row>
    <row r="312" spans="1:8" x14ac:dyDescent="0.25">
      <c r="A312" s="2">
        <v>301</v>
      </c>
      <c r="B312" s="2">
        <v>0.2</v>
      </c>
      <c r="C312" s="2">
        <v>0.1</v>
      </c>
      <c r="D312" s="2">
        <v>0.95</v>
      </c>
      <c r="E312" s="2">
        <v>1</v>
      </c>
      <c r="F312" s="2">
        <v>0.3</v>
      </c>
      <c r="G312" s="39">
        <v>12.699999809265137</v>
      </c>
      <c r="H312">
        <v>4.3613066673278809</v>
      </c>
    </row>
    <row r="313" spans="1:8" x14ac:dyDescent="0.25">
      <c r="A313" s="2">
        <v>302</v>
      </c>
      <c r="B313" s="2">
        <v>0.2</v>
      </c>
      <c r="C313" s="2">
        <v>0.1</v>
      </c>
      <c r="D313" s="2">
        <v>0.95</v>
      </c>
      <c r="E313" s="2">
        <v>1</v>
      </c>
      <c r="F313" s="2">
        <v>0.3</v>
      </c>
      <c r="G313" s="39">
        <v>15.899999618530273</v>
      </c>
      <c r="H313">
        <v>3.5247583389282227</v>
      </c>
    </row>
    <row r="314" spans="1:8" x14ac:dyDescent="0.25">
      <c r="A314" s="2">
        <v>303</v>
      </c>
      <c r="B314" s="2">
        <v>0.2</v>
      </c>
      <c r="C314" s="2">
        <v>0.1</v>
      </c>
      <c r="D314" s="2">
        <v>0.95</v>
      </c>
      <c r="E314" s="2">
        <v>1</v>
      </c>
      <c r="F314" s="2">
        <v>0.3</v>
      </c>
      <c r="G314" s="39">
        <v>25.399999618530273</v>
      </c>
      <c r="H314">
        <v>3.1114566326141357</v>
      </c>
    </row>
    <row r="315" spans="1:8" x14ac:dyDescent="0.25">
      <c r="A315" s="2">
        <v>304</v>
      </c>
      <c r="B315" s="2">
        <v>0.2</v>
      </c>
      <c r="C315" s="2">
        <v>0.1</v>
      </c>
      <c r="D315" s="2">
        <v>0.95</v>
      </c>
      <c r="E315" s="2">
        <v>1</v>
      </c>
      <c r="F315" s="2">
        <v>0.5</v>
      </c>
      <c r="G315" s="39">
        <v>12.699999809265137</v>
      </c>
      <c r="H315">
        <v>11.401889801025391</v>
      </c>
    </row>
    <row r="316" spans="1:8" x14ac:dyDescent="0.25">
      <c r="A316" s="2">
        <v>305</v>
      </c>
      <c r="B316" s="2">
        <v>0.2</v>
      </c>
      <c r="C316" s="2">
        <v>0.1</v>
      </c>
      <c r="D316" s="2">
        <v>0.95</v>
      </c>
      <c r="E316" s="2">
        <v>1</v>
      </c>
      <c r="F316" s="2">
        <v>0.5</v>
      </c>
      <c r="G316" s="39">
        <v>15.899999618530273</v>
      </c>
      <c r="H316">
        <v>9.2148771286010742</v>
      </c>
    </row>
    <row r="317" spans="1:8" x14ac:dyDescent="0.25">
      <c r="A317" s="2">
        <v>306</v>
      </c>
      <c r="B317" s="2">
        <v>0.2</v>
      </c>
      <c r="C317" s="2">
        <v>0.1</v>
      </c>
      <c r="D317" s="2">
        <v>0.95</v>
      </c>
      <c r="E317" s="2">
        <v>1</v>
      </c>
      <c r="F317" s="2">
        <v>0.5</v>
      </c>
      <c r="G317" s="39">
        <v>25.399999618530273</v>
      </c>
      <c r="H317">
        <v>8.1343708038330078</v>
      </c>
    </row>
    <row r="318" spans="1:8" x14ac:dyDescent="0.25">
      <c r="A318" s="2">
        <v>307</v>
      </c>
      <c r="B318" s="2">
        <v>0.2</v>
      </c>
      <c r="C318" s="2">
        <v>0.1</v>
      </c>
      <c r="D318" s="2">
        <v>0.95</v>
      </c>
      <c r="E318" s="2">
        <v>5.5</v>
      </c>
      <c r="F318" s="2">
        <v>0.1</v>
      </c>
      <c r="G318" s="39">
        <v>12.699999809265137</v>
      </c>
      <c r="H318">
        <v>3.8540282249450684</v>
      </c>
    </row>
    <row r="319" spans="1:8" x14ac:dyDescent="0.25">
      <c r="A319" s="2">
        <v>308</v>
      </c>
      <c r="B319" s="2">
        <v>0.2</v>
      </c>
      <c r="C319" s="2">
        <v>0.1</v>
      </c>
      <c r="D319" s="2">
        <v>0.95</v>
      </c>
      <c r="E319" s="2">
        <v>5.5</v>
      </c>
      <c r="F319" s="2">
        <v>0.1</v>
      </c>
      <c r="G319" s="39">
        <v>15.899999618530273</v>
      </c>
      <c r="H319">
        <v>3.1147816181182861</v>
      </c>
    </row>
    <row r="320" spans="1:8" x14ac:dyDescent="0.25">
      <c r="A320" s="2">
        <v>309</v>
      </c>
      <c r="B320" s="2">
        <v>0.2</v>
      </c>
      <c r="C320" s="2">
        <v>0.1</v>
      </c>
      <c r="D320" s="2">
        <v>0.95</v>
      </c>
      <c r="E320" s="2">
        <v>5.5</v>
      </c>
      <c r="F320" s="2">
        <v>0.1</v>
      </c>
      <c r="G320" s="39">
        <v>25.399999618530273</v>
      </c>
      <c r="H320">
        <v>2.7495524883270264</v>
      </c>
    </row>
    <row r="321" spans="1:8" x14ac:dyDescent="0.25">
      <c r="A321" s="2">
        <v>310</v>
      </c>
      <c r="B321" s="2">
        <v>0.2</v>
      </c>
      <c r="C321" s="2">
        <v>0.1</v>
      </c>
      <c r="D321" s="2">
        <v>0.95</v>
      </c>
      <c r="E321" s="2">
        <v>5.5</v>
      </c>
      <c r="F321" s="2">
        <v>0.3</v>
      </c>
      <c r="G321" s="39">
        <v>12.699999809265137</v>
      </c>
      <c r="H321">
        <v>2.6065797805786133</v>
      </c>
    </row>
    <row r="322" spans="1:8" x14ac:dyDescent="0.25">
      <c r="A322" s="2">
        <v>311</v>
      </c>
      <c r="B322" s="2">
        <v>0.2</v>
      </c>
      <c r="C322" s="2">
        <v>0.1</v>
      </c>
      <c r="D322" s="2">
        <v>0.95</v>
      </c>
      <c r="E322" s="2">
        <v>5.5</v>
      </c>
      <c r="F322" s="2">
        <v>0.3</v>
      </c>
      <c r="G322" s="39">
        <v>15.899999618530273</v>
      </c>
      <c r="H322">
        <v>2.1066081523895264</v>
      </c>
    </row>
    <row r="323" spans="1:8" x14ac:dyDescent="0.25">
      <c r="A323" s="2">
        <v>312</v>
      </c>
      <c r="B323" s="2">
        <v>0.2</v>
      </c>
      <c r="C323" s="2">
        <v>0.1</v>
      </c>
      <c r="D323" s="2">
        <v>0.95</v>
      </c>
      <c r="E323" s="2">
        <v>5.5</v>
      </c>
      <c r="F323" s="2">
        <v>0.3</v>
      </c>
      <c r="G323" s="39">
        <v>25.399999618530273</v>
      </c>
      <c r="H323">
        <v>1.8595939874649048</v>
      </c>
    </row>
    <row r="324" spans="1:8" x14ac:dyDescent="0.25">
      <c r="A324" s="2">
        <v>313</v>
      </c>
      <c r="B324" s="2">
        <v>0.2</v>
      </c>
      <c r="C324" s="2">
        <v>0.1</v>
      </c>
      <c r="D324" s="2">
        <v>0.95</v>
      </c>
      <c r="E324" s="2">
        <v>5.5</v>
      </c>
      <c r="F324" s="2">
        <v>0.5</v>
      </c>
      <c r="G324" s="39">
        <v>12.699999809265137</v>
      </c>
      <c r="H324">
        <v>4.5213689804077148</v>
      </c>
    </row>
    <row r="325" spans="1:8" x14ac:dyDescent="0.25">
      <c r="A325" s="2">
        <v>314</v>
      </c>
      <c r="B325" s="2">
        <v>0.2</v>
      </c>
      <c r="C325" s="2">
        <v>0.1</v>
      </c>
      <c r="D325" s="2">
        <v>0.95</v>
      </c>
      <c r="E325" s="2">
        <v>5.5</v>
      </c>
      <c r="F325" s="2">
        <v>0.5</v>
      </c>
      <c r="G325" s="39">
        <v>15.899999618530273</v>
      </c>
      <c r="H325">
        <v>3.6541187763214111</v>
      </c>
    </row>
    <row r="326" spans="1:8" x14ac:dyDescent="0.25">
      <c r="A326" s="2">
        <v>315</v>
      </c>
      <c r="B326" s="2">
        <v>0.2</v>
      </c>
      <c r="C326" s="2">
        <v>0.1</v>
      </c>
      <c r="D326" s="2">
        <v>0.95</v>
      </c>
      <c r="E326" s="2">
        <v>5.5</v>
      </c>
      <c r="F326" s="2">
        <v>0.5</v>
      </c>
      <c r="G326" s="39">
        <v>25.399999618530273</v>
      </c>
      <c r="H326">
        <v>3.2256486415863037</v>
      </c>
    </row>
    <row r="327" spans="1:8" x14ac:dyDescent="0.25">
      <c r="A327" s="2">
        <v>316</v>
      </c>
      <c r="B327" s="2">
        <v>0.2</v>
      </c>
      <c r="C327" s="2">
        <v>0.1</v>
      </c>
      <c r="D327" s="2">
        <v>0.95</v>
      </c>
      <c r="E327" s="2">
        <v>10</v>
      </c>
      <c r="F327" s="2">
        <v>0.1</v>
      </c>
      <c r="G327" s="39">
        <v>12.699999809265137</v>
      </c>
      <c r="H327">
        <v>3.7886245250701904</v>
      </c>
    </row>
    <row r="328" spans="1:8" x14ac:dyDescent="0.25">
      <c r="A328" s="2">
        <v>317</v>
      </c>
      <c r="B328" s="2">
        <v>0.2</v>
      </c>
      <c r="C328" s="2">
        <v>0.1</v>
      </c>
      <c r="D328" s="2">
        <v>0.95</v>
      </c>
      <c r="E328" s="2">
        <v>10</v>
      </c>
      <c r="F328" s="2">
        <v>0.1</v>
      </c>
      <c r="G328" s="39">
        <v>15.899999618530273</v>
      </c>
      <c r="H328">
        <v>3.0619232654571533</v>
      </c>
    </row>
    <row r="329" spans="1:8" x14ac:dyDescent="0.25">
      <c r="A329" s="2">
        <v>318</v>
      </c>
      <c r="B329" s="2">
        <v>0.2</v>
      </c>
      <c r="C329" s="2">
        <v>0.1</v>
      </c>
      <c r="D329" s="2">
        <v>0.95</v>
      </c>
      <c r="E329" s="2">
        <v>10</v>
      </c>
      <c r="F329" s="2">
        <v>0.1</v>
      </c>
      <c r="G329" s="39">
        <v>25.399999618530273</v>
      </c>
      <c r="H329">
        <v>2.7028918266296387</v>
      </c>
    </row>
    <row r="330" spans="1:8" x14ac:dyDescent="0.25">
      <c r="A330" s="2">
        <v>319</v>
      </c>
      <c r="B330" s="2">
        <v>0.2</v>
      </c>
      <c r="C330" s="2">
        <v>0.1</v>
      </c>
      <c r="D330" s="2">
        <v>0.95</v>
      </c>
      <c r="E330" s="2">
        <v>10</v>
      </c>
      <c r="F330" s="2">
        <v>0.3</v>
      </c>
      <c r="G330" s="39">
        <v>12.699999809265137</v>
      </c>
      <c r="H330">
        <v>2.3671772480010986</v>
      </c>
    </row>
    <row r="331" spans="1:8" x14ac:dyDescent="0.25">
      <c r="A331" s="2">
        <v>320</v>
      </c>
      <c r="B331" s="2">
        <v>0.2</v>
      </c>
      <c r="C331" s="2">
        <v>0.1</v>
      </c>
      <c r="D331" s="2">
        <v>0.95</v>
      </c>
      <c r="E331" s="2">
        <v>10</v>
      </c>
      <c r="F331" s="2">
        <v>0.3</v>
      </c>
      <c r="G331" s="39">
        <v>15.899999618530273</v>
      </c>
      <c r="H331">
        <v>1.9131255149841309</v>
      </c>
    </row>
    <row r="332" spans="1:8" x14ac:dyDescent="0.25">
      <c r="A332" s="2">
        <v>321</v>
      </c>
      <c r="B332" s="2">
        <v>0.2</v>
      </c>
      <c r="C332" s="2">
        <v>0.1</v>
      </c>
      <c r="D332" s="2">
        <v>0.95</v>
      </c>
      <c r="E332" s="2">
        <v>10</v>
      </c>
      <c r="F332" s="2">
        <v>0.3</v>
      </c>
      <c r="G332" s="39">
        <v>25.399999618530273</v>
      </c>
      <c r="H332">
        <v>1.6887985467910767</v>
      </c>
    </row>
    <row r="333" spans="1:8" x14ac:dyDescent="0.25">
      <c r="A333" s="2">
        <v>322</v>
      </c>
      <c r="B333" s="2">
        <v>0.2</v>
      </c>
      <c r="C333" s="2">
        <v>0.1</v>
      </c>
      <c r="D333" s="2">
        <v>0.95</v>
      </c>
      <c r="E333" s="2">
        <v>10</v>
      </c>
      <c r="F333" s="2">
        <v>0.5</v>
      </c>
      <c r="G333" s="39">
        <v>12.699999809265137</v>
      </c>
      <c r="H333">
        <v>3.8743166923522949</v>
      </c>
    </row>
    <row r="334" spans="1:8" x14ac:dyDescent="0.25">
      <c r="A334" s="2">
        <v>323</v>
      </c>
      <c r="B334" s="2">
        <v>0.2</v>
      </c>
      <c r="C334" s="2">
        <v>0.1</v>
      </c>
      <c r="D334" s="2">
        <v>0.95</v>
      </c>
      <c r="E334" s="2">
        <v>10</v>
      </c>
      <c r="F334" s="2">
        <v>0.5</v>
      </c>
      <c r="G334" s="39">
        <v>15.899999618530273</v>
      </c>
      <c r="H334">
        <v>3.131178617477417</v>
      </c>
    </row>
    <row r="335" spans="1:8" x14ac:dyDescent="0.25">
      <c r="A335" s="2">
        <v>324</v>
      </c>
      <c r="B335" s="2">
        <v>0.2</v>
      </c>
      <c r="C335" s="2">
        <v>0.1</v>
      </c>
      <c r="D335" s="2">
        <v>0.95</v>
      </c>
      <c r="E335" s="2">
        <v>10</v>
      </c>
      <c r="F335" s="2">
        <v>0.5</v>
      </c>
      <c r="G335" s="39">
        <v>25.399999618530273</v>
      </c>
      <c r="H335">
        <v>2.7640266418457031</v>
      </c>
    </row>
    <row r="336" spans="1:8" x14ac:dyDescent="0.25">
      <c r="A336" s="2">
        <v>325</v>
      </c>
      <c r="B336" s="2">
        <v>0.2</v>
      </c>
      <c r="C336" s="2">
        <v>0.3</v>
      </c>
      <c r="D336" s="2">
        <v>0.7</v>
      </c>
      <c r="E336" s="2">
        <v>1</v>
      </c>
      <c r="F336" s="2">
        <v>0.1</v>
      </c>
      <c r="G336" s="39">
        <v>12.699999809265137</v>
      </c>
      <c r="H336">
        <v>3.4156136512756348</v>
      </c>
    </row>
    <row r="337" spans="1:8" x14ac:dyDescent="0.25">
      <c r="A337" s="2">
        <v>326</v>
      </c>
      <c r="B337" s="2">
        <v>0.2</v>
      </c>
      <c r="C337" s="2">
        <v>0.3</v>
      </c>
      <c r="D337" s="2">
        <v>0.7</v>
      </c>
      <c r="E337" s="2">
        <v>1</v>
      </c>
      <c r="F337" s="2">
        <v>0.1</v>
      </c>
      <c r="G337" s="39">
        <v>15.899999618530273</v>
      </c>
      <c r="H337">
        <v>2.7604598999023437</v>
      </c>
    </row>
    <row r="338" spans="1:8" x14ac:dyDescent="0.25">
      <c r="A338" s="2">
        <v>327</v>
      </c>
      <c r="B338" s="2">
        <v>0.2</v>
      </c>
      <c r="C338" s="2">
        <v>0.3</v>
      </c>
      <c r="D338" s="2">
        <v>0.7</v>
      </c>
      <c r="E338" s="2">
        <v>1</v>
      </c>
      <c r="F338" s="2">
        <v>0.1</v>
      </c>
      <c r="G338" s="39">
        <v>25.399999618530273</v>
      </c>
      <c r="H338">
        <v>2.4367773532867432</v>
      </c>
    </row>
    <row r="339" spans="1:8" x14ac:dyDescent="0.25">
      <c r="A339" s="2">
        <v>328</v>
      </c>
      <c r="B339" s="2">
        <v>0.2</v>
      </c>
      <c r="C339" s="2">
        <v>0.3</v>
      </c>
      <c r="D339" s="2">
        <v>0.7</v>
      </c>
      <c r="E339" s="2">
        <v>1</v>
      </c>
      <c r="F339" s="2">
        <v>0.3</v>
      </c>
      <c r="G339" s="39">
        <v>12.699999809265137</v>
      </c>
      <c r="H339">
        <v>3.3387529850006104</v>
      </c>
    </row>
    <row r="340" spans="1:8" x14ac:dyDescent="0.25">
      <c r="A340" s="2">
        <v>329</v>
      </c>
      <c r="B340" s="2">
        <v>0.2</v>
      </c>
      <c r="C340" s="2">
        <v>0.3</v>
      </c>
      <c r="D340" s="2">
        <v>0.7</v>
      </c>
      <c r="E340" s="2">
        <v>1</v>
      </c>
      <c r="F340" s="2">
        <v>0.3</v>
      </c>
      <c r="G340" s="39">
        <v>15.899999618530273</v>
      </c>
      <c r="H340">
        <v>2.6983420848846436</v>
      </c>
    </row>
    <row r="341" spans="1:8" x14ac:dyDescent="0.25">
      <c r="A341" s="2">
        <v>330</v>
      </c>
      <c r="B341" s="2">
        <v>0.2</v>
      </c>
      <c r="C341" s="2">
        <v>0.3</v>
      </c>
      <c r="D341" s="2">
        <v>0.7</v>
      </c>
      <c r="E341" s="2">
        <v>1</v>
      </c>
      <c r="F341" s="2">
        <v>0.3</v>
      </c>
      <c r="G341" s="39">
        <v>25.399999618530273</v>
      </c>
      <c r="H341">
        <v>2.3819432258605957</v>
      </c>
    </row>
    <row r="342" spans="1:8" x14ac:dyDescent="0.25">
      <c r="A342" s="2">
        <v>331</v>
      </c>
      <c r="B342" s="2">
        <v>0.2</v>
      </c>
      <c r="C342" s="2">
        <v>0.3</v>
      </c>
      <c r="D342" s="2">
        <v>0.7</v>
      </c>
      <c r="E342" s="2">
        <v>1</v>
      </c>
      <c r="F342" s="2">
        <v>0.5</v>
      </c>
      <c r="G342" s="39">
        <v>12.699999809265137</v>
      </c>
      <c r="H342">
        <v>7.0130758285522461</v>
      </c>
    </row>
    <row r="343" spans="1:8" x14ac:dyDescent="0.25">
      <c r="A343" s="2">
        <v>332</v>
      </c>
      <c r="B343" s="2">
        <v>0.2</v>
      </c>
      <c r="C343" s="2">
        <v>0.3</v>
      </c>
      <c r="D343" s="2">
        <v>0.7</v>
      </c>
      <c r="E343" s="2">
        <v>1</v>
      </c>
      <c r="F343" s="2">
        <v>0.5</v>
      </c>
      <c r="G343" s="39">
        <v>15.899999618530273</v>
      </c>
      <c r="H343">
        <v>5.6678876876831055</v>
      </c>
    </row>
    <row r="344" spans="1:8" x14ac:dyDescent="0.25">
      <c r="A344" s="2">
        <v>333</v>
      </c>
      <c r="B344" s="2">
        <v>0.2</v>
      </c>
      <c r="C344" s="2">
        <v>0.3</v>
      </c>
      <c r="D344" s="2">
        <v>0.7</v>
      </c>
      <c r="E344" s="2">
        <v>1</v>
      </c>
      <c r="F344" s="2">
        <v>0.5</v>
      </c>
      <c r="G344" s="39">
        <v>25.399999618530273</v>
      </c>
      <c r="H344">
        <v>5.0032892227172852</v>
      </c>
    </row>
    <row r="345" spans="1:8" x14ac:dyDescent="0.25">
      <c r="A345" s="2">
        <v>334</v>
      </c>
      <c r="B345" s="2">
        <v>0.2</v>
      </c>
      <c r="C345" s="2">
        <v>0.3</v>
      </c>
      <c r="D345" s="2">
        <v>0.7</v>
      </c>
      <c r="E345" s="2">
        <v>5.5</v>
      </c>
      <c r="F345" s="2">
        <v>0.1</v>
      </c>
      <c r="G345" s="39">
        <v>12.699999809265137</v>
      </c>
      <c r="H345">
        <v>1.5478614568710327</v>
      </c>
    </row>
    <row r="346" spans="1:8" x14ac:dyDescent="0.25">
      <c r="A346" s="2">
        <v>335</v>
      </c>
      <c r="B346" s="2">
        <v>0.2</v>
      </c>
      <c r="C346" s="2">
        <v>0.3</v>
      </c>
      <c r="D346" s="2">
        <v>0.7</v>
      </c>
      <c r="E346" s="2">
        <v>5.5</v>
      </c>
      <c r="F346" s="2">
        <v>0.1</v>
      </c>
      <c r="G346" s="39">
        <v>15.899999618530273</v>
      </c>
      <c r="H346">
        <v>1.2509639263153076</v>
      </c>
    </row>
    <row r="347" spans="1:8" x14ac:dyDescent="0.25">
      <c r="A347" s="2">
        <v>336</v>
      </c>
      <c r="B347" s="2">
        <v>0.2</v>
      </c>
      <c r="C347" s="2">
        <v>0.3</v>
      </c>
      <c r="D347" s="2">
        <v>0.7</v>
      </c>
      <c r="E347" s="2">
        <v>5.5</v>
      </c>
      <c r="F347" s="2">
        <v>0.1</v>
      </c>
      <c r="G347" s="39">
        <v>25.399999618530273</v>
      </c>
      <c r="H347">
        <v>1.1042798757553101</v>
      </c>
    </row>
    <row r="348" spans="1:8" x14ac:dyDescent="0.25">
      <c r="A348" s="2">
        <v>337</v>
      </c>
      <c r="B348" s="2">
        <v>0.2</v>
      </c>
      <c r="C348" s="2">
        <v>0.3</v>
      </c>
      <c r="D348" s="2">
        <v>0.7</v>
      </c>
      <c r="E348" s="2">
        <v>5.5</v>
      </c>
      <c r="F348" s="2">
        <v>0.3</v>
      </c>
      <c r="G348" s="39">
        <v>12.699999809265137</v>
      </c>
      <c r="H348">
        <v>1.0579977035522461</v>
      </c>
    </row>
    <row r="349" spans="1:8" x14ac:dyDescent="0.25">
      <c r="A349" s="2">
        <v>338</v>
      </c>
      <c r="B349" s="2">
        <v>0.2</v>
      </c>
      <c r="C349" s="2">
        <v>0.3</v>
      </c>
      <c r="D349" s="2">
        <v>0.7</v>
      </c>
      <c r="E349" s="2">
        <v>5.5</v>
      </c>
      <c r="F349" s="2">
        <v>0.3</v>
      </c>
      <c r="G349" s="39">
        <v>15.899999618530273</v>
      </c>
      <c r="H349">
        <v>0.85506170988082886</v>
      </c>
    </row>
    <row r="350" spans="1:8" x14ac:dyDescent="0.25">
      <c r="A350" s="2">
        <v>339</v>
      </c>
      <c r="B350" s="2">
        <v>0.2</v>
      </c>
      <c r="C350" s="2">
        <v>0.3</v>
      </c>
      <c r="D350" s="2">
        <v>0.7</v>
      </c>
      <c r="E350" s="2">
        <v>5.5</v>
      </c>
      <c r="F350" s="2">
        <v>0.3</v>
      </c>
      <c r="G350" s="39">
        <v>25.399999618530273</v>
      </c>
      <c r="H350">
        <v>0.75479990243911743</v>
      </c>
    </row>
    <row r="351" spans="1:8" x14ac:dyDescent="0.25">
      <c r="A351" s="2">
        <v>340</v>
      </c>
      <c r="B351" s="2">
        <v>0.2</v>
      </c>
      <c r="C351" s="2">
        <v>0.3</v>
      </c>
      <c r="D351" s="2">
        <v>0.7</v>
      </c>
      <c r="E351" s="2">
        <v>5.5</v>
      </c>
      <c r="F351" s="2">
        <v>0.5</v>
      </c>
      <c r="G351" s="39">
        <v>12.699999809265137</v>
      </c>
      <c r="H351">
        <v>1.8484295606613159</v>
      </c>
    </row>
    <row r="352" spans="1:8" x14ac:dyDescent="0.25">
      <c r="A352" s="2">
        <v>341</v>
      </c>
      <c r="B352" s="2">
        <v>0.2</v>
      </c>
      <c r="C352" s="2">
        <v>0.3</v>
      </c>
      <c r="D352" s="2">
        <v>0.7</v>
      </c>
      <c r="E352" s="2">
        <v>5.5</v>
      </c>
      <c r="F352" s="2">
        <v>0.5</v>
      </c>
      <c r="G352" s="39">
        <v>15.899999618530273</v>
      </c>
      <c r="H352">
        <v>1.4938796758651733</v>
      </c>
    </row>
    <row r="353" spans="1:8" x14ac:dyDescent="0.25">
      <c r="A353" s="2">
        <v>342</v>
      </c>
      <c r="B353" s="2">
        <v>0.2</v>
      </c>
      <c r="C353" s="2">
        <v>0.3</v>
      </c>
      <c r="D353" s="2">
        <v>0.7</v>
      </c>
      <c r="E353" s="2">
        <v>5.5</v>
      </c>
      <c r="F353" s="2">
        <v>0.5</v>
      </c>
      <c r="G353" s="39">
        <v>25.399999618530273</v>
      </c>
      <c r="H353">
        <v>1.3187121152877808</v>
      </c>
    </row>
    <row r="354" spans="1:8" x14ac:dyDescent="0.25">
      <c r="A354" s="2">
        <v>343</v>
      </c>
      <c r="B354" s="2">
        <v>0.2</v>
      </c>
      <c r="C354" s="2">
        <v>0.3</v>
      </c>
      <c r="D354" s="2">
        <v>0.7</v>
      </c>
      <c r="E354" s="2">
        <v>10</v>
      </c>
      <c r="F354" s="2">
        <v>0.1</v>
      </c>
      <c r="G354" s="39">
        <v>12.699999809265137</v>
      </c>
      <c r="H354">
        <v>0.98079186677932739</v>
      </c>
    </row>
    <row r="355" spans="1:8" x14ac:dyDescent="0.25">
      <c r="A355" s="2">
        <v>344</v>
      </c>
      <c r="B355" s="2">
        <v>0.2</v>
      </c>
      <c r="C355" s="2">
        <v>0.3</v>
      </c>
      <c r="D355" s="2">
        <v>0.7</v>
      </c>
      <c r="E355" s="2">
        <v>10</v>
      </c>
      <c r="F355" s="2">
        <v>0.1</v>
      </c>
      <c r="G355" s="39">
        <v>15.899999618530273</v>
      </c>
      <c r="H355">
        <v>0.79266482591629028</v>
      </c>
    </row>
    <row r="356" spans="1:8" x14ac:dyDescent="0.25">
      <c r="A356" s="2">
        <v>345</v>
      </c>
      <c r="B356" s="2">
        <v>0.2</v>
      </c>
      <c r="C356" s="2">
        <v>0.3</v>
      </c>
      <c r="D356" s="2">
        <v>0.7</v>
      </c>
      <c r="E356" s="2">
        <v>10</v>
      </c>
      <c r="F356" s="2">
        <v>0.1</v>
      </c>
      <c r="G356" s="39">
        <v>25.399999618530273</v>
      </c>
      <c r="H356">
        <v>0.69971948862075806</v>
      </c>
    </row>
    <row r="357" spans="1:8" x14ac:dyDescent="0.25">
      <c r="A357" s="2">
        <v>346</v>
      </c>
      <c r="B357" s="2">
        <v>0.2</v>
      </c>
      <c r="C357" s="2">
        <v>0.3</v>
      </c>
      <c r="D357" s="2">
        <v>0.7</v>
      </c>
      <c r="E357" s="2">
        <v>10</v>
      </c>
      <c r="F357" s="2">
        <v>0.3</v>
      </c>
      <c r="G357" s="39">
        <v>12.699999809265137</v>
      </c>
      <c r="H357">
        <v>0.65990853309631348</v>
      </c>
    </row>
    <row r="358" spans="1:8" x14ac:dyDescent="0.25">
      <c r="A358" s="2">
        <v>347</v>
      </c>
      <c r="B358" s="2">
        <v>0.2</v>
      </c>
      <c r="C358" s="2">
        <v>0.3</v>
      </c>
      <c r="D358" s="2">
        <v>0.7</v>
      </c>
      <c r="E358" s="2">
        <v>10</v>
      </c>
      <c r="F358" s="2">
        <v>0.3</v>
      </c>
      <c r="G358" s="39">
        <v>15.899999618530273</v>
      </c>
      <c r="H358">
        <v>0.53333055973052979</v>
      </c>
    </row>
    <row r="359" spans="1:8" x14ac:dyDescent="0.25">
      <c r="A359" s="2">
        <v>348</v>
      </c>
      <c r="B359" s="2">
        <v>0.2</v>
      </c>
      <c r="C359" s="2">
        <v>0.3</v>
      </c>
      <c r="D359" s="2">
        <v>0.7</v>
      </c>
      <c r="E359" s="2">
        <v>10</v>
      </c>
      <c r="F359" s="2">
        <v>0.3</v>
      </c>
      <c r="G359" s="39">
        <v>25.399999618530273</v>
      </c>
      <c r="H359">
        <v>0.47079390287399292</v>
      </c>
    </row>
    <row r="360" spans="1:8" x14ac:dyDescent="0.25">
      <c r="A360" s="2">
        <v>349</v>
      </c>
      <c r="B360" s="2">
        <v>0.2</v>
      </c>
      <c r="C360" s="2">
        <v>0.3</v>
      </c>
      <c r="D360" s="2">
        <v>0.7</v>
      </c>
      <c r="E360" s="2">
        <v>10</v>
      </c>
      <c r="F360" s="2">
        <v>0.5</v>
      </c>
      <c r="G360" s="39">
        <v>12.699999809265137</v>
      </c>
      <c r="H360">
        <v>1.1406067609786987</v>
      </c>
    </row>
    <row r="361" spans="1:8" x14ac:dyDescent="0.25">
      <c r="A361" s="2">
        <v>350</v>
      </c>
      <c r="B361" s="2">
        <v>0.2</v>
      </c>
      <c r="C361" s="2">
        <v>0.3</v>
      </c>
      <c r="D361" s="2">
        <v>0.7</v>
      </c>
      <c r="E361" s="2">
        <v>10</v>
      </c>
      <c r="F361" s="2">
        <v>0.5</v>
      </c>
      <c r="G361" s="39">
        <v>15.899999618530273</v>
      </c>
      <c r="H361">
        <v>0.9218253493309021</v>
      </c>
    </row>
    <row r="362" spans="1:8" x14ac:dyDescent="0.25">
      <c r="A362" s="2">
        <v>351</v>
      </c>
      <c r="B362" s="2">
        <v>0.2</v>
      </c>
      <c r="C362" s="2">
        <v>0.3</v>
      </c>
      <c r="D362" s="2">
        <v>0.7</v>
      </c>
      <c r="E362" s="2">
        <v>10</v>
      </c>
      <c r="F362" s="2">
        <v>0.5</v>
      </c>
      <c r="G362" s="39">
        <v>25.399999618530273</v>
      </c>
      <c r="H362">
        <v>0.81373506784439087</v>
      </c>
    </row>
    <row r="363" spans="1:8" x14ac:dyDescent="0.25">
      <c r="A363" s="2">
        <v>352</v>
      </c>
      <c r="B363" s="2">
        <v>0.2</v>
      </c>
      <c r="C363" s="2">
        <v>0.3</v>
      </c>
      <c r="D363" s="2">
        <v>0.82499999999999996</v>
      </c>
      <c r="E363" s="2">
        <v>1</v>
      </c>
      <c r="F363" s="2">
        <v>0.1</v>
      </c>
      <c r="G363" s="39">
        <v>12.699999809265137</v>
      </c>
      <c r="H363">
        <v>2.3823513984680176</v>
      </c>
    </row>
    <row r="364" spans="1:8" x14ac:dyDescent="0.25">
      <c r="A364" s="2">
        <v>353</v>
      </c>
      <c r="B364" s="2">
        <v>0.2</v>
      </c>
      <c r="C364" s="2">
        <v>0.3</v>
      </c>
      <c r="D364" s="2">
        <v>0.82499999999999996</v>
      </c>
      <c r="E364" s="2">
        <v>1</v>
      </c>
      <c r="F364" s="2">
        <v>0.1</v>
      </c>
      <c r="G364" s="39">
        <v>15.899999618530273</v>
      </c>
      <c r="H364">
        <v>1.925389289855957</v>
      </c>
    </row>
    <row r="365" spans="1:8" x14ac:dyDescent="0.25">
      <c r="A365" s="2">
        <v>354</v>
      </c>
      <c r="B365" s="2">
        <v>0.2</v>
      </c>
      <c r="C365" s="2">
        <v>0.3</v>
      </c>
      <c r="D365" s="2">
        <v>0.82499999999999996</v>
      </c>
      <c r="E365" s="2">
        <v>1</v>
      </c>
      <c r="F365" s="2">
        <v>0.1</v>
      </c>
      <c r="G365" s="39">
        <v>25.399999618530273</v>
      </c>
      <c r="H365">
        <v>1.6996243000030518</v>
      </c>
    </row>
    <row r="366" spans="1:8" x14ac:dyDescent="0.25">
      <c r="A366" s="2">
        <v>355</v>
      </c>
      <c r="B366" s="2">
        <v>0.2</v>
      </c>
      <c r="C366" s="2">
        <v>0.3</v>
      </c>
      <c r="D366" s="2">
        <v>0.82499999999999996</v>
      </c>
      <c r="E366" s="2">
        <v>1</v>
      </c>
      <c r="F366" s="2">
        <v>0.3</v>
      </c>
      <c r="G366" s="39">
        <v>12.699999809265137</v>
      </c>
      <c r="H366">
        <v>2.3287422657012939</v>
      </c>
    </row>
    <row r="367" spans="1:8" x14ac:dyDescent="0.25">
      <c r="A367" s="2">
        <v>356</v>
      </c>
      <c r="B367" s="2">
        <v>0.2</v>
      </c>
      <c r="C367" s="2">
        <v>0.3</v>
      </c>
      <c r="D367" s="2">
        <v>0.82499999999999996</v>
      </c>
      <c r="E367" s="2">
        <v>1</v>
      </c>
      <c r="F367" s="2">
        <v>0.3</v>
      </c>
      <c r="G367" s="39">
        <v>15.899999618530273</v>
      </c>
      <c r="H367">
        <v>1.8820627927780151</v>
      </c>
    </row>
    <row r="368" spans="1:8" x14ac:dyDescent="0.25">
      <c r="A368" s="2">
        <v>357</v>
      </c>
      <c r="B368" s="2">
        <v>0.2</v>
      </c>
      <c r="C368" s="2">
        <v>0.3</v>
      </c>
      <c r="D368" s="2">
        <v>0.82499999999999996</v>
      </c>
      <c r="E368" s="2">
        <v>1</v>
      </c>
      <c r="F368" s="2">
        <v>0.3</v>
      </c>
      <c r="G368" s="39">
        <v>25.399999618530273</v>
      </c>
      <c r="H368">
        <v>1.6613781452178955</v>
      </c>
    </row>
    <row r="369" spans="1:8" x14ac:dyDescent="0.25">
      <c r="A369" s="2">
        <v>358</v>
      </c>
      <c r="B369" s="2">
        <v>0.2</v>
      </c>
      <c r="C369" s="2">
        <v>0.3</v>
      </c>
      <c r="D369" s="2">
        <v>0.82499999999999996</v>
      </c>
      <c r="E369" s="2">
        <v>1</v>
      </c>
      <c r="F369" s="2">
        <v>0.5</v>
      </c>
      <c r="G369" s="39">
        <v>12.699999809265137</v>
      </c>
      <c r="H369">
        <v>4.89154052734375</v>
      </c>
    </row>
    <row r="370" spans="1:8" x14ac:dyDescent="0.25">
      <c r="A370" s="2">
        <v>359</v>
      </c>
      <c r="B370" s="2">
        <v>0.2</v>
      </c>
      <c r="C370" s="2">
        <v>0.3</v>
      </c>
      <c r="D370" s="2">
        <v>0.82499999999999996</v>
      </c>
      <c r="E370" s="2">
        <v>1</v>
      </c>
      <c r="F370" s="2">
        <v>0.5</v>
      </c>
      <c r="G370" s="39">
        <v>15.899999618530273</v>
      </c>
      <c r="H370">
        <v>3.9532871246337891</v>
      </c>
    </row>
    <row r="371" spans="1:8" x14ac:dyDescent="0.25">
      <c r="A371" s="2">
        <v>360</v>
      </c>
      <c r="B371" s="2">
        <v>0.2</v>
      </c>
      <c r="C371" s="2">
        <v>0.3</v>
      </c>
      <c r="D371" s="2">
        <v>0.82499999999999996</v>
      </c>
      <c r="E371" s="2">
        <v>1</v>
      </c>
      <c r="F371" s="2">
        <v>0.5</v>
      </c>
      <c r="G371" s="39">
        <v>25.399999618530273</v>
      </c>
      <c r="H371">
        <v>3.4897372722625732</v>
      </c>
    </row>
    <row r="372" spans="1:8" x14ac:dyDescent="0.25">
      <c r="A372" s="2">
        <v>361</v>
      </c>
      <c r="B372" s="2">
        <v>0.2</v>
      </c>
      <c r="C372" s="2">
        <v>0.3</v>
      </c>
      <c r="D372" s="2">
        <v>0.82499999999999996</v>
      </c>
      <c r="E372" s="2">
        <v>5.5</v>
      </c>
      <c r="F372" s="2">
        <v>0.1</v>
      </c>
      <c r="G372" s="39">
        <v>12.699999809265137</v>
      </c>
      <c r="H372">
        <v>1.0796157121658325</v>
      </c>
    </row>
    <row r="373" spans="1:8" x14ac:dyDescent="0.25">
      <c r="A373" s="2">
        <v>362</v>
      </c>
      <c r="B373" s="2">
        <v>0.2</v>
      </c>
      <c r="C373" s="2">
        <v>0.3</v>
      </c>
      <c r="D373" s="2">
        <v>0.82499999999999996</v>
      </c>
      <c r="E373" s="2">
        <v>5.5</v>
      </c>
      <c r="F373" s="2">
        <v>0.1</v>
      </c>
      <c r="G373" s="39">
        <v>15.899999618530273</v>
      </c>
      <c r="H373">
        <v>0.87253308296203613</v>
      </c>
    </row>
    <row r="374" spans="1:8" x14ac:dyDescent="0.25">
      <c r="A374" s="2">
        <v>363</v>
      </c>
      <c r="B374" s="2">
        <v>0.2</v>
      </c>
      <c r="C374" s="2">
        <v>0.3</v>
      </c>
      <c r="D374" s="2">
        <v>0.82499999999999996</v>
      </c>
      <c r="E374" s="2">
        <v>5.5</v>
      </c>
      <c r="F374" s="2">
        <v>0.1</v>
      </c>
      <c r="G374" s="39">
        <v>25.399999618530273</v>
      </c>
      <c r="H374">
        <v>0.77022266387939453</v>
      </c>
    </row>
    <row r="375" spans="1:8" x14ac:dyDescent="0.25">
      <c r="A375" s="2">
        <v>364</v>
      </c>
      <c r="B375" s="2">
        <v>0.2</v>
      </c>
      <c r="C375" s="2">
        <v>0.3</v>
      </c>
      <c r="D375" s="2">
        <v>0.82499999999999996</v>
      </c>
      <c r="E375" s="2">
        <v>5.5</v>
      </c>
      <c r="F375" s="2">
        <v>0.3</v>
      </c>
      <c r="G375" s="39">
        <v>12.699999809265137</v>
      </c>
      <c r="H375">
        <v>0.73794132471084595</v>
      </c>
    </row>
    <row r="376" spans="1:8" x14ac:dyDescent="0.25">
      <c r="A376" s="2">
        <v>365</v>
      </c>
      <c r="B376" s="2">
        <v>0.2</v>
      </c>
      <c r="C376" s="2">
        <v>0.3</v>
      </c>
      <c r="D376" s="2">
        <v>0.82499999999999996</v>
      </c>
      <c r="E376" s="2">
        <v>5.5</v>
      </c>
      <c r="F376" s="2">
        <v>0.3</v>
      </c>
      <c r="G376" s="39">
        <v>15.899999618530273</v>
      </c>
      <c r="H376">
        <v>0.59639579057693481</v>
      </c>
    </row>
    <row r="377" spans="1:8" x14ac:dyDescent="0.25">
      <c r="A377" s="2">
        <v>366</v>
      </c>
      <c r="B377" s="2">
        <v>0.2</v>
      </c>
      <c r="C377" s="2">
        <v>0.3</v>
      </c>
      <c r="D377" s="2">
        <v>0.82499999999999996</v>
      </c>
      <c r="E377" s="2">
        <v>5.5</v>
      </c>
      <c r="F377" s="2">
        <v>0.3</v>
      </c>
      <c r="G377" s="39">
        <v>25.399999618530273</v>
      </c>
      <c r="H377">
        <v>0.52646428346633911</v>
      </c>
    </row>
    <row r="378" spans="1:8" x14ac:dyDescent="0.25">
      <c r="A378" s="2">
        <v>367</v>
      </c>
      <c r="B378" s="2">
        <v>0.2</v>
      </c>
      <c r="C378" s="2">
        <v>0.3</v>
      </c>
      <c r="D378" s="2">
        <v>0.82499999999999996</v>
      </c>
      <c r="E378" s="2">
        <v>5.5</v>
      </c>
      <c r="F378" s="2">
        <v>0.5</v>
      </c>
      <c r="G378" s="39">
        <v>12.699999809265137</v>
      </c>
      <c r="H378">
        <v>1.2892584800720215</v>
      </c>
    </row>
    <row r="379" spans="1:8" x14ac:dyDescent="0.25">
      <c r="A379" s="2">
        <v>368</v>
      </c>
      <c r="B379" s="2">
        <v>0.2</v>
      </c>
      <c r="C379" s="2">
        <v>0.3</v>
      </c>
      <c r="D379" s="2">
        <v>0.82499999999999996</v>
      </c>
      <c r="E379" s="2">
        <v>5.5</v>
      </c>
      <c r="F379" s="2">
        <v>0.5</v>
      </c>
      <c r="G379" s="39">
        <v>15.899999618530273</v>
      </c>
      <c r="H379">
        <v>1.041964054107666</v>
      </c>
    </row>
    <row r="380" spans="1:8" x14ac:dyDescent="0.25">
      <c r="A380" s="2">
        <v>369</v>
      </c>
      <c r="B380" s="2">
        <v>0.2</v>
      </c>
      <c r="C380" s="2">
        <v>0.3</v>
      </c>
      <c r="D380" s="2">
        <v>0.82499999999999996</v>
      </c>
      <c r="E380" s="2">
        <v>5.5</v>
      </c>
      <c r="F380" s="2">
        <v>0.5</v>
      </c>
      <c r="G380" s="39">
        <v>25.399999618530273</v>
      </c>
      <c r="H380">
        <v>0.91978663206100464</v>
      </c>
    </row>
    <row r="381" spans="1:8" x14ac:dyDescent="0.25">
      <c r="A381" s="2">
        <v>370</v>
      </c>
      <c r="B381" s="2">
        <v>0.2</v>
      </c>
      <c r="C381" s="2">
        <v>0.3</v>
      </c>
      <c r="D381" s="2">
        <v>0.82499999999999996</v>
      </c>
      <c r="E381" s="2">
        <v>10</v>
      </c>
      <c r="F381" s="2">
        <v>0.1</v>
      </c>
      <c r="G381" s="39">
        <v>12.699999809265137</v>
      </c>
      <c r="H381">
        <v>0.68409115076065063</v>
      </c>
    </row>
    <row r="382" spans="1:8" x14ac:dyDescent="0.25">
      <c r="A382" s="2">
        <v>371</v>
      </c>
      <c r="B382" s="2">
        <v>0.2</v>
      </c>
      <c r="C382" s="2">
        <v>0.3</v>
      </c>
      <c r="D382" s="2">
        <v>0.82499999999999996</v>
      </c>
      <c r="E382" s="2">
        <v>10</v>
      </c>
      <c r="F382" s="2">
        <v>0.1</v>
      </c>
      <c r="G382" s="39">
        <v>15.899999618530273</v>
      </c>
      <c r="H382">
        <v>0.55287468433380127</v>
      </c>
    </row>
    <row r="383" spans="1:8" x14ac:dyDescent="0.25">
      <c r="A383" s="2">
        <v>372</v>
      </c>
      <c r="B383" s="2">
        <v>0.2</v>
      </c>
      <c r="C383" s="2">
        <v>0.3</v>
      </c>
      <c r="D383" s="2">
        <v>0.82499999999999996</v>
      </c>
      <c r="E383" s="2">
        <v>10</v>
      </c>
      <c r="F383" s="2">
        <v>0.1</v>
      </c>
      <c r="G383" s="39">
        <v>25.399999618530273</v>
      </c>
      <c r="H383">
        <v>0.48804634809494019</v>
      </c>
    </row>
    <row r="384" spans="1:8" x14ac:dyDescent="0.25">
      <c r="A384" s="2">
        <v>373</v>
      </c>
      <c r="B384" s="2">
        <v>0.2</v>
      </c>
      <c r="C384" s="2">
        <v>0.3</v>
      </c>
      <c r="D384" s="2">
        <v>0.82499999999999996</v>
      </c>
      <c r="E384" s="2">
        <v>10</v>
      </c>
      <c r="F384" s="2">
        <v>0.3</v>
      </c>
      <c r="G384" s="39">
        <v>12.699999809265137</v>
      </c>
      <c r="H384">
        <v>0.46027866005897522</v>
      </c>
    </row>
    <row r="385" spans="1:8" x14ac:dyDescent="0.25">
      <c r="A385" s="2">
        <v>374</v>
      </c>
      <c r="B385" s="2">
        <v>0.2</v>
      </c>
      <c r="C385" s="2">
        <v>0.3</v>
      </c>
      <c r="D385" s="2">
        <v>0.82499999999999996</v>
      </c>
      <c r="E385" s="2">
        <v>10</v>
      </c>
      <c r="F385" s="2">
        <v>0.3</v>
      </c>
      <c r="G385" s="39">
        <v>15.899999618530273</v>
      </c>
      <c r="H385">
        <v>0.37199196219444275</v>
      </c>
    </row>
    <row r="386" spans="1:8" x14ac:dyDescent="0.25">
      <c r="A386" s="2">
        <v>375</v>
      </c>
      <c r="B386" s="2">
        <v>0.2</v>
      </c>
      <c r="C386" s="2">
        <v>0.3</v>
      </c>
      <c r="D386" s="2">
        <v>0.82499999999999996</v>
      </c>
      <c r="E386" s="2">
        <v>10</v>
      </c>
      <c r="F386" s="2">
        <v>0.3</v>
      </c>
      <c r="G386" s="39">
        <v>25.399999618530273</v>
      </c>
      <c r="H386">
        <v>0.32837337255477905</v>
      </c>
    </row>
    <row r="387" spans="1:8" x14ac:dyDescent="0.25">
      <c r="A387" s="2">
        <v>376</v>
      </c>
      <c r="B387" s="2">
        <v>0.2</v>
      </c>
      <c r="C387" s="2">
        <v>0.3</v>
      </c>
      <c r="D387" s="2">
        <v>0.82499999999999996</v>
      </c>
      <c r="E387" s="2">
        <v>10</v>
      </c>
      <c r="F387" s="2">
        <v>0.5</v>
      </c>
      <c r="G387" s="39">
        <v>12.699999809265137</v>
      </c>
      <c r="H387">
        <v>0.79556018114089966</v>
      </c>
    </row>
    <row r="388" spans="1:8" x14ac:dyDescent="0.25">
      <c r="A388" s="2">
        <v>377</v>
      </c>
      <c r="B388" s="2">
        <v>0.2</v>
      </c>
      <c r="C388" s="2">
        <v>0.3</v>
      </c>
      <c r="D388" s="2">
        <v>0.82499999999999996</v>
      </c>
      <c r="E388" s="2">
        <v>10</v>
      </c>
      <c r="F388" s="2">
        <v>0.5</v>
      </c>
      <c r="G388" s="39">
        <v>15.899999618530273</v>
      </c>
      <c r="H388">
        <v>0.64296263456344604</v>
      </c>
    </row>
    <row r="389" spans="1:8" x14ac:dyDescent="0.25">
      <c r="A389" s="2">
        <v>378</v>
      </c>
      <c r="B389" s="2">
        <v>0.2</v>
      </c>
      <c r="C389" s="2">
        <v>0.3</v>
      </c>
      <c r="D389" s="2">
        <v>0.82499999999999996</v>
      </c>
      <c r="E389" s="2">
        <v>10</v>
      </c>
      <c r="F389" s="2">
        <v>0.5</v>
      </c>
      <c r="G389" s="39">
        <v>25.399999618530273</v>
      </c>
      <c r="H389">
        <v>0.56757092475891113</v>
      </c>
    </row>
    <row r="390" spans="1:8" x14ac:dyDescent="0.25">
      <c r="A390" s="2">
        <v>379</v>
      </c>
      <c r="B390" s="2">
        <v>0.2</v>
      </c>
      <c r="C390" s="2">
        <v>0.3</v>
      </c>
      <c r="D390" s="2">
        <v>0.95</v>
      </c>
      <c r="E390" s="2">
        <v>1</v>
      </c>
      <c r="F390" s="2">
        <v>0.1</v>
      </c>
      <c r="G390" s="39">
        <v>12.699999809265137</v>
      </c>
      <c r="H390">
        <v>1.3490893840789795</v>
      </c>
    </row>
    <row r="391" spans="1:8" x14ac:dyDescent="0.25">
      <c r="A391" s="2">
        <v>380</v>
      </c>
      <c r="B391" s="2">
        <v>0.2</v>
      </c>
      <c r="C391" s="2">
        <v>0.3</v>
      </c>
      <c r="D391" s="2">
        <v>0.95</v>
      </c>
      <c r="E391" s="2">
        <v>1</v>
      </c>
      <c r="F391" s="2">
        <v>0.1</v>
      </c>
      <c r="G391" s="39">
        <v>15.899999618530273</v>
      </c>
      <c r="H391">
        <v>1.0903186798095703</v>
      </c>
    </row>
    <row r="392" spans="1:8" x14ac:dyDescent="0.25">
      <c r="A392" s="2">
        <v>381</v>
      </c>
      <c r="B392" s="2">
        <v>0.2</v>
      </c>
      <c r="C392" s="2">
        <v>0.3</v>
      </c>
      <c r="D392" s="2">
        <v>0.95</v>
      </c>
      <c r="E392" s="2">
        <v>1</v>
      </c>
      <c r="F392" s="2">
        <v>0.1</v>
      </c>
      <c r="G392" s="39">
        <v>25.399999618530273</v>
      </c>
      <c r="H392">
        <v>0.9624713659286499</v>
      </c>
    </row>
    <row r="393" spans="1:8" x14ac:dyDescent="0.25">
      <c r="A393" s="2">
        <v>382</v>
      </c>
      <c r="B393" s="2">
        <v>0.2</v>
      </c>
      <c r="C393" s="2">
        <v>0.3</v>
      </c>
      <c r="D393" s="2">
        <v>0.95</v>
      </c>
      <c r="E393" s="2">
        <v>1</v>
      </c>
      <c r="F393" s="2">
        <v>0.3</v>
      </c>
      <c r="G393" s="39">
        <v>12.699999809265137</v>
      </c>
      <c r="H393">
        <v>1.3187311887741089</v>
      </c>
    </row>
    <row r="394" spans="1:8" x14ac:dyDescent="0.25">
      <c r="A394" s="2">
        <v>383</v>
      </c>
      <c r="B394" s="2">
        <v>0.2</v>
      </c>
      <c r="C394" s="2">
        <v>0.3</v>
      </c>
      <c r="D394" s="2">
        <v>0.95</v>
      </c>
      <c r="E394" s="2">
        <v>1</v>
      </c>
      <c r="F394" s="2">
        <v>0.3</v>
      </c>
      <c r="G394" s="39">
        <v>15.899999618530273</v>
      </c>
      <c r="H394">
        <v>1.0657835006713867</v>
      </c>
    </row>
    <row r="395" spans="1:8" x14ac:dyDescent="0.25">
      <c r="A395" s="2">
        <v>384</v>
      </c>
      <c r="B395" s="2">
        <v>0.2</v>
      </c>
      <c r="C395" s="2">
        <v>0.3</v>
      </c>
      <c r="D395" s="2">
        <v>0.95</v>
      </c>
      <c r="E395" s="2">
        <v>1</v>
      </c>
      <c r="F395" s="2">
        <v>0.3</v>
      </c>
      <c r="G395" s="39">
        <v>25.399999618530273</v>
      </c>
      <c r="H395">
        <v>0.94081318378448486</v>
      </c>
    </row>
    <row r="396" spans="1:8" x14ac:dyDescent="0.25">
      <c r="A396" s="2">
        <v>385</v>
      </c>
      <c r="B396" s="2">
        <v>0.2</v>
      </c>
      <c r="C396" s="2">
        <v>0.3</v>
      </c>
      <c r="D396" s="2">
        <v>0.95</v>
      </c>
      <c r="E396" s="2">
        <v>1</v>
      </c>
      <c r="F396" s="2">
        <v>0.5</v>
      </c>
      <c r="G396" s="39">
        <v>12.699999809265137</v>
      </c>
      <c r="H396">
        <v>2.7700047492980957</v>
      </c>
    </row>
    <row r="397" spans="1:8" x14ac:dyDescent="0.25">
      <c r="A397" s="2">
        <v>386</v>
      </c>
      <c r="B397" s="2">
        <v>0.2</v>
      </c>
      <c r="C397" s="2">
        <v>0.3</v>
      </c>
      <c r="D397" s="2">
        <v>0.95</v>
      </c>
      <c r="E397" s="2">
        <v>1</v>
      </c>
      <c r="F397" s="2">
        <v>0.5</v>
      </c>
      <c r="G397" s="39">
        <v>15.899999618530273</v>
      </c>
      <c r="H397">
        <v>2.2386863231658936</v>
      </c>
    </row>
    <row r="398" spans="1:8" x14ac:dyDescent="0.25">
      <c r="A398" s="2">
        <v>387</v>
      </c>
      <c r="B398" s="2">
        <v>0.2</v>
      </c>
      <c r="C398" s="2">
        <v>0.3</v>
      </c>
      <c r="D398" s="2">
        <v>0.95</v>
      </c>
      <c r="E398" s="2">
        <v>1</v>
      </c>
      <c r="F398" s="2">
        <v>0.5</v>
      </c>
      <c r="G398" s="39">
        <v>25.399999618530273</v>
      </c>
      <c r="H398">
        <v>1.9761850833892822</v>
      </c>
    </row>
    <row r="399" spans="1:8" x14ac:dyDescent="0.25">
      <c r="A399" s="2">
        <v>388</v>
      </c>
      <c r="B399" s="2">
        <v>0.2</v>
      </c>
      <c r="C399" s="2">
        <v>0.3</v>
      </c>
      <c r="D399" s="2">
        <v>0.95</v>
      </c>
      <c r="E399" s="2">
        <v>5.5</v>
      </c>
      <c r="F399" s="2">
        <v>0.1</v>
      </c>
      <c r="G399" s="39">
        <v>12.699999809265137</v>
      </c>
      <c r="H399">
        <v>0.61136990785598755</v>
      </c>
    </row>
    <row r="400" spans="1:8" x14ac:dyDescent="0.25">
      <c r="A400" s="2">
        <v>389</v>
      </c>
      <c r="B400" s="2">
        <v>0.2</v>
      </c>
      <c r="C400" s="2">
        <v>0.3</v>
      </c>
      <c r="D400" s="2">
        <v>0.95</v>
      </c>
      <c r="E400" s="2">
        <v>5.5</v>
      </c>
      <c r="F400" s="2">
        <v>0.1</v>
      </c>
      <c r="G400" s="39">
        <v>15.899999618530273</v>
      </c>
      <c r="H400">
        <v>0.49410220980644226</v>
      </c>
    </row>
    <row r="401" spans="1:8" x14ac:dyDescent="0.25">
      <c r="A401" s="2">
        <v>390</v>
      </c>
      <c r="B401" s="2">
        <v>0.2</v>
      </c>
      <c r="C401" s="2">
        <v>0.3</v>
      </c>
      <c r="D401" s="2">
        <v>0.95</v>
      </c>
      <c r="E401" s="2">
        <v>5.5</v>
      </c>
      <c r="F401" s="2">
        <v>0.1</v>
      </c>
      <c r="G401" s="39">
        <v>25.399999618530273</v>
      </c>
      <c r="H401">
        <v>0.43616536259651184</v>
      </c>
    </row>
    <row r="402" spans="1:8" x14ac:dyDescent="0.25">
      <c r="A402" s="2">
        <v>391</v>
      </c>
      <c r="B402" s="2">
        <v>0.2</v>
      </c>
      <c r="C402" s="2">
        <v>0.3</v>
      </c>
      <c r="D402" s="2">
        <v>0.95</v>
      </c>
      <c r="E402" s="2">
        <v>5.5</v>
      </c>
      <c r="F402" s="2">
        <v>0.3</v>
      </c>
      <c r="G402" s="39">
        <v>12.699999809265137</v>
      </c>
      <c r="H402">
        <v>0.4178849458694458</v>
      </c>
    </row>
    <row r="403" spans="1:8" x14ac:dyDescent="0.25">
      <c r="A403" s="2">
        <v>392</v>
      </c>
      <c r="B403" s="2">
        <v>0.2</v>
      </c>
      <c r="C403" s="2">
        <v>0.3</v>
      </c>
      <c r="D403" s="2">
        <v>0.95</v>
      </c>
      <c r="E403" s="2">
        <v>5.5</v>
      </c>
      <c r="F403" s="2">
        <v>0.3</v>
      </c>
      <c r="G403" s="39">
        <v>15.899999618530273</v>
      </c>
      <c r="H403">
        <v>0.33772984147071838</v>
      </c>
    </row>
    <row r="404" spans="1:8" x14ac:dyDescent="0.25">
      <c r="A404" s="2">
        <v>393</v>
      </c>
      <c r="B404" s="2">
        <v>0.2</v>
      </c>
      <c r="C404" s="2">
        <v>0.3</v>
      </c>
      <c r="D404" s="2">
        <v>0.95</v>
      </c>
      <c r="E404" s="2">
        <v>5.5</v>
      </c>
      <c r="F404" s="2">
        <v>0.3</v>
      </c>
      <c r="G404" s="39">
        <v>25.399999618530273</v>
      </c>
      <c r="H404">
        <v>0.29812872409820557</v>
      </c>
    </row>
    <row r="405" spans="1:8" x14ac:dyDescent="0.25">
      <c r="A405" s="2">
        <v>394</v>
      </c>
      <c r="B405" s="2">
        <v>0.2</v>
      </c>
      <c r="C405" s="2">
        <v>0.3</v>
      </c>
      <c r="D405" s="2">
        <v>0.95</v>
      </c>
      <c r="E405" s="2">
        <v>5.5</v>
      </c>
      <c r="F405" s="2">
        <v>0.5</v>
      </c>
      <c r="G405" s="39">
        <v>12.699999809265137</v>
      </c>
      <c r="H405">
        <v>0.73008745908737183</v>
      </c>
    </row>
    <row r="406" spans="1:8" x14ac:dyDescent="0.25">
      <c r="A406" s="2">
        <v>395</v>
      </c>
      <c r="B406" s="2">
        <v>0.2</v>
      </c>
      <c r="C406" s="2">
        <v>0.3</v>
      </c>
      <c r="D406" s="2">
        <v>0.95</v>
      </c>
      <c r="E406" s="2">
        <v>5.5</v>
      </c>
      <c r="F406" s="2">
        <v>0.5</v>
      </c>
      <c r="G406" s="39">
        <v>15.899999618530273</v>
      </c>
      <c r="H406">
        <v>0.59004837274551392</v>
      </c>
    </row>
    <row r="407" spans="1:8" x14ac:dyDescent="0.25">
      <c r="A407" s="2">
        <v>396</v>
      </c>
      <c r="B407" s="2">
        <v>0.2</v>
      </c>
      <c r="C407" s="2">
        <v>0.3</v>
      </c>
      <c r="D407" s="2">
        <v>0.95</v>
      </c>
      <c r="E407" s="2">
        <v>5.5</v>
      </c>
      <c r="F407" s="2">
        <v>0.5</v>
      </c>
      <c r="G407" s="39">
        <v>25.399999618530273</v>
      </c>
      <c r="H407">
        <v>0.52086120843887329</v>
      </c>
    </row>
    <row r="408" spans="1:8" x14ac:dyDescent="0.25">
      <c r="A408" s="2">
        <v>397</v>
      </c>
      <c r="B408" s="2">
        <v>0.2</v>
      </c>
      <c r="C408" s="2">
        <v>0.3</v>
      </c>
      <c r="D408" s="2">
        <v>0.95</v>
      </c>
      <c r="E408" s="2">
        <v>10</v>
      </c>
      <c r="F408" s="2">
        <v>0.1</v>
      </c>
      <c r="G408" s="39">
        <v>12.699999809265137</v>
      </c>
      <c r="H408">
        <v>0.38739040493965149</v>
      </c>
    </row>
    <row r="409" spans="1:8" x14ac:dyDescent="0.25">
      <c r="A409" s="2">
        <v>398</v>
      </c>
      <c r="B409" s="2">
        <v>0.2</v>
      </c>
      <c r="C409" s="2">
        <v>0.3</v>
      </c>
      <c r="D409" s="2">
        <v>0.95</v>
      </c>
      <c r="E409" s="2">
        <v>10</v>
      </c>
      <c r="F409" s="2">
        <v>0.1</v>
      </c>
      <c r="G409" s="39">
        <v>15.899999618530273</v>
      </c>
      <c r="H409">
        <v>0.31308451294898987</v>
      </c>
    </row>
    <row r="410" spans="1:8" x14ac:dyDescent="0.25">
      <c r="A410" s="2">
        <v>399</v>
      </c>
      <c r="B410" s="2">
        <v>0.2</v>
      </c>
      <c r="C410" s="2">
        <v>0.3</v>
      </c>
      <c r="D410" s="2">
        <v>0.95</v>
      </c>
      <c r="E410" s="2">
        <v>10</v>
      </c>
      <c r="F410" s="2">
        <v>0.1</v>
      </c>
      <c r="G410" s="39">
        <v>25.399999618530273</v>
      </c>
      <c r="H410">
        <v>0.27637320756912231</v>
      </c>
    </row>
    <row r="411" spans="1:8" x14ac:dyDescent="0.25">
      <c r="A411" s="2">
        <v>400</v>
      </c>
      <c r="B411" s="2">
        <v>0.2</v>
      </c>
      <c r="C411" s="2">
        <v>0.3</v>
      </c>
      <c r="D411" s="2">
        <v>0.95</v>
      </c>
      <c r="E411" s="2">
        <v>10</v>
      </c>
      <c r="F411" s="2">
        <v>0.3</v>
      </c>
      <c r="G411" s="39">
        <v>12.699999809265137</v>
      </c>
      <c r="H411">
        <v>0.26064878702163696</v>
      </c>
    </row>
    <row r="412" spans="1:8" x14ac:dyDescent="0.25">
      <c r="A412" s="2">
        <v>401</v>
      </c>
      <c r="B412" s="2">
        <v>0.2</v>
      </c>
      <c r="C412" s="2">
        <v>0.3</v>
      </c>
      <c r="D412" s="2">
        <v>0.95</v>
      </c>
      <c r="E412" s="2">
        <v>10</v>
      </c>
      <c r="F412" s="2">
        <v>0.3</v>
      </c>
      <c r="G412" s="39">
        <v>15.899999618530273</v>
      </c>
      <c r="H412">
        <v>0.21065337955951691</v>
      </c>
    </row>
    <row r="413" spans="1:8" x14ac:dyDescent="0.25">
      <c r="A413" s="2">
        <v>402</v>
      </c>
      <c r="B413" s="2">
        <v>0.2</v>
      </c>
      <c r="C413" s="2">
        <v>0.3</v>
      </c>
      <c r="D413" s="2">
        <v>0.95</v>
      </c>
      <c r="E413" s="2">
        <v>10</v>
      </c>
      <c r="F413" s="2">
        <v>0.3</v>
      </c>
      <c r="G413" s="39">
        <v>25.399999618530273</v>
      </c>
      <c r="H413">
        <v>0.18595284223556519</v>
      </c>
    </row>
    <row r="414" spans="1:8" x14ac:dyDescent="0.25">
      <c r="A414" s="2">
        <v>403</v>
      </c>
      <c r="B414" s="2">
        <v>0.2</v>
      </c>
      <c r="C414" s="2">
        <v>0.3</v>
      </c>
      <c r="D414" s="2">
        <v>0.95</v>
      </c>
      <c r="E414" s="2">
        <v>10</v>
      </c>
      <c r="F414" s="2">
        <v>0.5</v>
      </c>
      <c r="G414" s="39">
        <v>12.699999809265137</v>
      </c>
      <c r="H414">
        <v>0.45051360130310059</v>
      </c>
    </row>
    <row r="415" spans="1:8" x14ac:dyDescent="0.25">
      <c r="A415" s="2">
        <v>404</v>
      </c>
      <c r="B415" s="2">
        <v>0.2</v>
      </c>
      <c r="C415" s="2">
        <v>0.3</v>
      </c>
      <c r="D415" s="2">
        <v>0.95</v>
      </c>
      <c r="E415" s="2">
        <v>10</v>
      </c>
      <c r="F415" s="2">
        <v>0.5</v>
      </c>
      <c r="G415" s="39">
        <v>15.899999618530273</v>
      </c>
      <c r="H415">
        <v>0.36409994959831238</v>
      </c>
    </row>
    <row r="416" spans="1:8" x14ac:dyDescent="0.25">
      <c r="A416" s="2">
        <v>405</v>
      </c>
      <c r="B416" s="2">
        <v>0.2</v>
      </c>
      <c r="C416" s="2">
        <v>0.3</v>
      </c>
      <c r="D416" s="2">
        <v>0.95</v>
      </c>
      <c r="E416" s="2">
        <v>10</v>
      </c>
      <c r="F416" s="2">
        <v>0.5</v>
      </c>
      <c r="G416" s="39">
        <v>25.399999618530273</v>
      </c>
      <c r="H416">
        <v>0.32140675187110901</v>
      </c>
    </row>
    <row r="417" spans="1:8" x14ac:dyDescent="0.25">
      <c r="A417" s="2">
        <v>406</v>
      </c>
      <c r="B417" s="2">
        <v>0.2</v>
      </c>
      <c r="C417" s="2">
        <v>0.5</v>
      </c>
      <c r="D417" s="2">
        <v>0.7</v>
      </c>
      <c r="E417" s="2">
        <v>1</v>
      </c>
      <c r="F417" s="2">
        <v>0.1</v>
      </c>
      <c r="G417" s="39">
        <v>12.699999809265137</v>
      </c>
      <c r="H417">
        <v>3.9067494869232178</v>
      </c>
    </row>
    <row r="418" spans="1:8" x14ac:dyDescent="0.25">
      <c r="A418" s="2">
        <v>407</v>
      </c>
      <c r="B418" s="2">
        <v>0.2</v>
      </c>
      <c r="C418" s="2">
        <v>0.5</v>
      </c>
      <c r="D418" s="2">
        <v>0.7</v>
      </c>
      <c r="E418" s="2">
        <v>1</v>
      </c>
      <c r="F418" s="2">
        <v>0.1</v>
      </c>
      <c r="G418" s="39">
        <v>15.899999618530273</v>
      </c>
      <c r="H418">
        <v>3.1573903560638428</v>
      </c>
    </row>
    <row r="419" spans="1:8" x14ac:dyDescent="0.25">
      <c r="A419" s="2">
        <v>408</v>
      </c>
      <c r="B419" s="2">
        <v>0.2</v>
      </c>
      <c r="C419" s="2">
        <v>0.5</v>
      </c>
      <c r="D419" s="2">
        <v>0.7</v>
      </c>
      <c r="E419" s="2">
        <v>1</v>
      </c>
      <c r="F419" s="2">
        <v>0.1</v>
      </c>
      <c r="G419" s="39">
        <v>25.399999618530273</v>
      </c>
      <c r="H419">
        <v>2.7871649265289307</v>
      </c>
    </row>
    <row r="420" spans="1:8" x14ac:dyDescent="0.25">
      <c r="A420" s="2">
        <v>409</v>
      </c>
      <c r="B420" s="2">
        <v>0.2</v>
      </c>
      <c r="C420" s="2">
        <v>0.5</v>
      </c>
      <c r="D420" s="2">
        <v>0.7</v>
      </c>
      <c r="E420" s="2">
        <v>1</v>
      </c>
      <c r="F420" s="2">
        <v>0.3</v>
      </c>
      <c r="G420" s="39">
        <v>12.699999809265137</v>
      </c>
      <c r="H420">
        <v>3.0801031589508057</v>
      </c>
    </row>
    <row r="421" spans="1:8" x14ac:dyDescent="0.25">
      <c r="A421" s="2">
        <v>410</v>
      </c>
      <c r="B421" s="2">
        <v>0.2</v>
      </c>
      <c r="C421" s="2">
        <v>0.5</v>
      </c>
      <c r="D421" s="2">
        <v>0.7</v>
      </c>
      <c r="E421" s="2">
        <v>1</v>
      </c>
      <c r="F421" s="2">
        <v>0.3</v>
      </c>
      <c r="G421" s="39">
        <v>15.899999618530273</v>
      </c>
      <c r="H421">
        <v>2.4893043041229248</v>
      </c>
    </row>
    <row r="422" spans="1:8" x14ac:dyDescent="0.25">
      <c r="A422" s="2">
        <v>411</v>
      </c>
      <c r="B422" s="2">
        <v>0.2</v>
      </c>
      <c r="C422" s="2">
        <v>0.5</v>
      </c>
      <c r="D422" s="2">
        <v>0.7</v>
      </c>
      <c r="E422" s="2">
        <v>1</v>
      </c>
      <c r="F422" s="2">
        <v>0.3</v>
      </c>
      <c r="G422" s="39">
        <v>25.399999618530273</v>
      </c>
      <c r="H422">
        <v>2.1974165439605713</v>
      </c>
    </row>
    <row r="423" spans="1:8" x14ac:dyDescent="0.25">
      <c r="A423" s="2">
        <v>412</v>
      </c>
      <c r="B423" s="2">
        <v>0.2</v>
      </c>
      <c r="C423" s="2">
        <v>0.5</v>
      </c>
      <c r="D423" s="2">
        <v>0.7</v>
      </c>
      <c r="E423" s="2">
        <v>1</v>
      </c>
      <c r="F423" s="2">
        <v>0.5</v>
      </c>
      <c r="G423" s="39">
        <v>12.699999809265137</v>
      </c>
      <c r="H423">
        <v>5.8627586364746094</v>
      </c>
    </row>
    <row r="424" spans="1:8" x14ac:dyDescent="0.25">
      <c r="A424" s="2">
        <v>413</v>
      </c>
      <c r="B424" s="2">
        <v>0.2</v>
      </c>
      <c r="C424" s="2">
        <v>0.5</v>
      </c>
      <c r="D424" s="2">
        <v>0.7</v>
      </c>
      <c r="E424" s="2">
        <v>1</v>
      </c>
      <c r="F424" s="2">
        <v>0.5</v>
      </c>
      <c r="G424" s="39">
        <v>15.899999618530273</v>
      </c>
      <c r="H424">
        <v>4.7382144927978516</v>
      </c>
    </row>
    <row r="425" spans="1:8" x14ac:dyDescent="0.25">
      <c r="A425" s="2">
        <v>414</v>
      </c>
      <c r="B425" s="2">
        <v>0.2</v>
      </c>
      <c r="C425" s="2">
        <v>0.5</v>
      </c>
      <c r="D425" s="2">
        <v>0.7</v>
      </c>
      <c r="E425" s="2">
        <v>1</v>
      </c>
      <c r="F425" s="2">
        <v>0.5</v>
      </c>
      <c r="G425" s="39">
        <v>25.399999618530273</v>
      </c>
      <c r="H425">
        <v>4.1826267242431641</v>
      </c>
    </row>
    <row r="426" spans="1:8" x14ac:dyDescent="0.25">
      <c r="A426" s="2">
        <v>415</v>
      </c>
      <c r="B426" s="2">
        <v>0.2</v>
      </c>
      <c r="C426" s="2">
        <v>0.5</v>
      </c>
      <c r="D426" s="2">
        <v>0.7</v>
      </c>
      <c r="E426" s="2">
        <v>5.5</v>
      </c>
      <c r="F426" s="2">
        <v>0.1</v>
      </c>
      <c r="G426" s="39">
        <v>12.699999809265137</v>
      </c>
      <c r="H426">
        <v>0.9316713809967041</v>
      </c>
    </row>
    <row r="427" spans="1:8" x14ac:dyDescent="0.25">
      <c r="A427" s="2">
        <v>416</v>
      </c>
      <c r="B427" s="2">
        <v>0.2</v>
      </c>
      <c r="C427" s="2">
        <v>0.5</v>
      </c>
      <c r="D427" s="2">
        <v>0.7</v>
      </c>
      <c r="E427" s="2">
        <v>5.5</v>
      </c>
      <c r="F427" s="2">
        <v>0.1</v>
      </c>
      <c r="G427" s="39">
        <v>15.899999618530273</v>
      </c>
      <c r="H427">
        <v>0.75296616554260254</v>
      </c>
    </row>
    <row r="428" spans="1:8" x14ac:dyDescent="0.25">
      <c r="A428" s="2">
        <v>417</v>
      </c>
      <c r="B428" s="2">
        <v>0.2</v>
      </c>
      <c r="C428" s="2">
        <v>0.5</v>
      </c>
      <c r="D428" s="2">
        <v>0.7</v>
      </c>
      <c r="E428" s="2">
        <v>5.5</v>
      </c>
      <c r="F428" s="2">
        <v>0.1</v>
      </c>
      <c r="G428" s="39">
        <v>25.399999618530273</v>
      </c>
      <c r="H428">
        <v>0.66467577219009399</v>
      </c>
    </row>
    <row r="429" spans="1:8" x14ac:dyDescent="0.25">
      <c r="A429" s="2">
        <v>418</v>
      </c>
      <c r="B429" s="2">
        <v>0.2</v>
      </c>
      <c r="C429" s="2">
        <v>0.5</v>
      </c>
      <c r="D429" s="2">
        <v>0.7</v>
      </c>
      <c r="E429" s="2">
        <v>5.5</v>
      </c>
      <c r="F429" s="2">
        <v>0.3</v>
      </c>
      <c r="G429" s="39">
        <v>12.699999809265137</v>
      </c>
      <c r="H429">
        <v>0.64433073997497559</v>
      </c>
    </row>
    <row r="430" spans="1:8" x14ac:dyDescent="0.25">
      <c r="A430" s="2">
        <v>419</v>
      </c>
      <c r="B430" s="2">
        <v>0.2</v>
      </c>
      <c r="C430" s="2">
        <v>0.5</v>
      </c>
      <c r="D430" s="2">
        <v>0.7</v>
      </c>
      <c r="E430" s="2">
        <v>5.5</v>
      </c>
      <c r="F430" s="2">
        <v>0.3</v>
      </c>
      <c r="G430" s="39">
        <v>15.899999618530273</v>
      </c>
      <c r="H430">
        <v>0.52074074745178223</v>
      </c>
    </row>
    <row r="431" spans="1:8" x14ac:dyDescent="0.25">
      <c r="A431" s="2">
        <v>420</v>
      </c>
      <c r="B431" s="2">
        <v>0.2</v>
      </c>
      <c r="C431" s="2">
        <v>0.5</v>
      </c>
      <c r="D431" s="2">
        <v>0.7</v>
      </c>
      <c r="E431" s="2">
        <v>5.5</v>
      </c>
      <c r="F431" s="2">
        <v>0.3</v>
      </c>
      <c r="G431" s="39">
        <v>25.399999618530273</v>
      </c>
      <c r="H431">
        <v>0.45968037843704224</v>
      </c>
    </row>
    <row r="432" spans="1:8" x14ac:dyDescent="0.25">
      <c r="A432" s="2">
        <v>421</v>
      </c>
      <c r="B432" s="2">
        <v>0.2</v>
      </c>
      <c r="C432" s="2">
        <v>0.5</v>
      </c>
      <c r="D432" s="2">
        <v>0.7</v>
      </c>
      <c r="E432" s="2">
        <v>5.5</v>
      </c>
      <c r="F432" s="2">
        <v>0.5</v>
      </c>
      <c r="G432" s="39">
        <v>12.699999809265137</v>
      </c>
      <c r="H432">
        <v>1.1345394849777222</v>
      </c>
    </row>
    <row r="433" spans="1:8" x14ac:dyDescent="0.25">
      <c r="A433" s="2">
        <v>422</v>
      </c>
      <c r="B433" s="2">
        <v>0.2</v>
      </c>
      <c r="C433" s="2">
        <v>0.5</v>
      </c>
      <c r="D433" s="2">
        <v>0.7</v>
      </c>
      <c r="E433" s="2">
        <v>5.5</v>
      </c>
      <c r="F433" s="2">
        <v>0.5</v>
      </c>
      <c r="G433" s="39">
        <v>15.899999618530273</v>
      </c>
      <c r="H433">
        <v>0.91692185401916504</v>
      </c>
    </row>
    <row r="434" spans="1:8" x14ac:dyDescent="0.25">
      <c r="A434" s="2">
        <v>423</v>
      </c>
      <c r="B434" s="2">
        <v>0.2</v>
      </c>
      <c r="C434" s="2">
        <v>0.5</v>
      </c>
      <c r="D434" s="2">
        <v>0.7</v>
      </c>
      <c r="E434" s="2">
        <v>5.5</v>
      </c>
      <c r="F434" s="2">
        <v>0.5</v>
      </c>
      <c r="G434" s="39">
        <v>25.399999618530273</v>
      </c>
      <c r="H434">
        <v>0.809406578540802</v>
      </c>
    </row>
    <row r="435" spans="1:8" x14ac:dyDescent="0.25">
      <c r="A435" s="2">
        <v>424</v>
      </c>
      <c r="B435" s="2">
        <v>0.2</v>
      </c>
      <c r="C435" s="2">
        <v>0.5</v>
      </c>
      <c r="D435" s="2">
        <v>0.7</v>
      </c>
      <c r="E435" s="2">
        <v>10</v>
      </c>
      <c r="F435" s="2">
        <v>0.1</v>
      </c>
      <c r="G435" s="39">
        <v>12.699999809265137</v>
      </c>
      <c r="H435">
        <v>0.22559651732444763</v>
      </c>
    </row>
    <row r="436" spans="1:8" x14ac:dyDescent="0.25">
      <c r="A436" s="2">
        <v>425</v>
      </c>
      <c r="B436" s="2">
        <v>0.2</v>
      </c>
      <c r="C436" s="2">
        <v>0.5</v>
      </c>
      <c r="D436" s="2">
        <v>0.7</v>
      </c>
      <c r="E436" s="2">
        <v>10</v>
      </c>
      <c r="F436" s="2">
        <v>0.1</v>
      </c>
      <c r="G436" s="39">
        <v>15.899999618530273</v>
      </c>
      <c r="H436">
        <v>0.18232452869415283</v>
      </c>
    </row>
    <row r="437" spans="1:8" x14ac:dyDescent="0.25">
      <c r="A437" s="2">
        <v>426</v>
      </c>
      <c r="B437" s="2">
        <v>0.2</v>
      </c>
      <c r="C437" s="2">
        <v>0.5</v>
      </c>
      <c r="D437" s="2">
        <v>0.7</v>
      </c>
      <c r="E437" s="2">
        <v>10</v>
      </c>
      <c r="F437" s="2">
        <v>0.1</v>
      </c>
      <c r="G437" s="39">
        <v>25.399999618530273</v>
      </c>
      <c r="H437">
        <v>0.16094574332237244</v>
      </c>
    </row>
    <row r="438" spans="1:8" x14ac:dyDescent="0.25">
      <c r="A438" s="2">
        <v>427</v>
      </c>
      <c r="B438" s="2">
        <v>0.2</v>
      </c>
      <c r="C438" s="2">
        <v>0.5</v>
      </c>
      <c r="D438" s="2">
        <v>0.7</v>
      </c>
      <c r="E438" s="2">
        <v>10</v>
      </c>
      <c r="F438" s="2">
        <v>0.3</v>
      </c>
      <c r="G438" s="39">
        <v>12.699999809265137</v>
      </c>
      <c r="H438">
        <v>0.20107017457485199</v>
      </c>
    </row>
    <row r="439" spans="1:8" x14ac:dyDescent="0.25">
      <c r="A439" s="2">
        <v>428</v>
      </c>
      <c r="B439" s="2">
        <v>0.2</v>
      </c>
      <c r="C439" s="2">
        <v>0.5</v>
      </c>
      <c r="D439" s="2">
        <v>0.7</v>
      </c>
      <c r="E439" s="2">
        <v>10</v>
      </c>
      <c r="F439" s="2">
        <v>0.3</v>
      </c>
      <c r="G439" s="39">
        <v>15.899999618530273</v>
      </c>
      <c r="H439">
        <v>0.16250261664390564</v>
      </c>
    </row>
    <row r="440" spans="1:8" x14ac:dyDescent="0.25">
      <c r="A440" s="2">
        <v>429</v>
      </c>
      <c r="B440" s="2">
        <v>0.2</v>
      </c>
      <c r="C440" s="2">
        <v>0.5</v>
      </c>
      <c r="D440" s="2">
        <v>0.7</v>
      </c>
      <c r="E440" s="2">
        <v>10</v>
      </c>
      <c r="F440" s="2">
        <v>0.3</v>
      </c>
      <c r="G440" s="39">
        <v>25.399999618530273</v>
      </c>
      <c r="H440">
        <v>0.14344808459281921</v>
      </c>
    </row>
    <row r="441" spans="1:8" x14ac:dyDescent="0.25">
      <c r="A441" s="2">
        <v>430</v>
      </c>
      <c r="B441" s="2">
        <v>0.2</v>
      </c>
      <c r="C441" s="2">
        <v>0.5</v>
      </c>
      <c r="D441" s="2">
        <v>0.7</v>
      </c>
      <c r="E441" s="2">
        <v>10</v>
      </c>
      <c r="F441" s="2">
        <v>0.5</v>
      </c>
      <c r="G441" s="39">
        <v>12.699999809265137</v>
      </c>
      <c r="H441">
        <v>0.40636742115020752</v>
      </c>
    </row>
    <row r="442" spans="1:8" x14ac:dyDescent="0.25">
      <c r="A442" s="2">
        <v>431</v>
      </c>
      <c r="B442" s="2">
        <v>0.2</v>
      </c>
      <c r="C442" s="2">
        <v>0.5</v>
      </c>
      <c r="D442" s="2">
        <v>0.7</v>
      </c>
      <c r="E442" s="2">
        <v>10</v>
      </c>
      <c r="F442" s="2">
        <v>0.5</v>
      </c>
      <c r="G442" s="39">
        <v>15.899999618530273</v>
      </c>
      <c r="H442">
        <v>0.32842150330543518</v>
      </c>
    </row>
    <row r="443" spans="1:8" x14ac:dyDescent="0.25">
      <c r="A443" s="2">
        <v>432</v>
      </c>
      <c r="B443" s="2">
        <v>0.2</v>
      </c>
      <c r="C443" s="2">
        <v>0.5</v>
      </c>
      <c r="D443" s="2">
        <v>0.7</v>
      </c>
      <c r="E443" s="2">
        <v>10</v>
      </c>
      <c r="F443" s="2">
        <v>0.5</v>
      </c>
      <c r="G443" s="39">
        <v>25.399999618530273</v>
      </c>
      <c r="H443">
        <v>0.28991183638572693</v>
      </c>
    </row>
    <row r="444" spans="1:8" x14ac:dyDescent="0.25">
      <c r="A444" s="2">
        <v>433</v>
      </c>
      <c r="B444" s="2">
        <v>0.2</v>
      </c>
      <c r="C444" s="2">
        <v>0.5</v>
      </c>
      <c r="D444" s="2">
        <v>0.82499999999999996</v>
      </c>
      <c r="E444" s="2">
        <v>1</v>
      </c>
      <c r="F444" s="2">
        <v>0.1</v>
      </c>
      <c r="G444" s="39">
        <v>12.699999809265137</v>
      </c>
      <c r="H444">
        <v>2.7249131202697754</v>
      </c>
    </row>
    <row r="445" spans="1:8" x14ac:dyDescent="0.25">
      <c r="A445" s="2">
        <v>434</v>
      </c>
      <c r="B445" s="2">
        <v>0.2</v>
      </c>
      <c r="C445" s="2">
        <v>0.5</v>
      </c>
      <c r="D445" s="2">
        <v>0.82499999999999996</v>
      </c>
      <c r="E445" s="2">
        <v>1</v>
      </c>
      <c r="F445" s="2">
        <v>0.1</v>
      </c>
      <c r="G445" s="39">
        <v>15.899999618530273</v>
      </c>
      <c r="H445">
        <v>2.2022438049316406</v>
      </c>
    </row>
    <row r="446" spans="1:8" x14ac:dyDescent="0.25">
      <c r="A446" s="2">
        <v>435</v>
      </c>
      <c r="B446" s="2">
        <v>0.2</v>
      </c>
      <c r="C446" s="2">
        <v>0.5</v>
      </c>
      <c r="D446" s="2">
        <v>0.82499999999999996</v>
      </c>
      <c r="E446" s="2">
        <v>1</v>
      </c>
      <c r="F446" s="2">
        <v>0.1</v>
      </c>
      <c r="G446" s="39">
        <v>25.399999618530273</v>
      </c>
      <c r="H446">
        <v>1.9440156221389771</v>
      </c>
    </row>
    <row r="447" spans="1:8" x14ac:dyDescent="0.25">
      <c r="A447" s="2">
        <v>436</v>
      </c>
      <c r="B447" s="2">
        <v>0.2</v>
      </c>
      <c r="C447" s="2">
        <v>0.5</v>
      </c>
      <c r="D447" s="2">
        <v>0.82499999999999996</v>
      </c>
      <c r="E447" s="2">
        <v>1</v>
      </c>
      <c r="F447" s="2">
        <v>0.3</v>
      </c>
      <c r="G447" s="39">
        <v>12.699999809265137</v>
      </c>
      <c r="H447">
        <v>2.1483368873596191</v>
      </c>
    </row>
    <row r="448" spans="1:8" x14ac:dyDescent="0.25">
      <c r="A448" s="2">
        <v>437</v>
      </c>
      <c r="B448" s="2">
        <v>0.2</v>
      </c>
      <c r="C448" s="2">
        <v>0.5</v>
      </c>
      <c r="D448" s="2">
        <v>0.82499999999999996</v>
      </c>
      <c r="E448" s="2">
        <v>1</v>
      </c>
      <c r="F448" s="2">
        <v>0.3</v>
      </c>
      <c r="G448" s="39">
        <v>15.899999618530273</v>
      </c>
      <c r="H448">
        <v>1.7362613677978516</v>
      </c>
    </row>
    <row r="449" spans="1:8" x14ac:dyDescent="0.25">
      <c r="A449" s="2">
        <v>438</v>
      </c>
      <c r="B449" s="2">
        <v>0.2</v>
      </c>
      <c r="C449" s="2">
        <v>0.5</v>
      </c>
      <c r="D449" s="2">
        <v>0.82499999999999996</v>
      </c>
      <c r="E449" s="2">
        <v>1</v>
      </c>
      <c r="F449" s="2">
        <v>0.3</v>
      </c>
      <c r="G449" s="39">
        <v>25.399999618530273</v>
      </c>
      <c r="H449">
        <v>1.5326728820800781</v>
      </c>
    </row>
    <row r="450" spans="1:8" x14ac:dyDescent="0.25">
      <c r="A450" s="2">
        <v>439</v>
      </c>
      <c r="B450" s="2">
        <v>0.2</v>
      </c>
      <c r="C450" s="2">
        <v>0.5</v>
      </c>
      <c r="D450" s="2">
        <v>0.82499999999999996</v>
      </c>
      <c r="E450" s="2">
        <v>1</v>
      </c>
      <c r="F450" s="2">
        <v>0.5</v>
      </c>
      <c r="G450" s="39">
        <v>12.699999809265137</v>
      </c>
      <c r="H450">
        <v>4.0892071723937988</v>
      </c>
    </row>
    <row r="451" spans="1:8" x14ac:dyDescent="0.25">
      <c r="A451" s="2">
        <v>440</v>
      </c>
      <c r="B451" s="2">
        <v>0.2</v>
      </c>
      <c r="C451" s="2">
        <v>0.5</v>
      </c>
      <c r="D451" s="2">
        <v>0.82499999999999996</v>
      </c>
      <c r="E451" s="2">
        <v>1</v>
      </c>
      <c r="F451" s="2">
        <v>0.5</v>
      </c>
      <c r="G451" s="39">
        <v>15.899999618530273</v>
      </c>
      <c r="H451">
        <v>3.3048505783081055</v>
      </c>
    </row>
    <row r="452" spans="1:8" x14ac:dyDescent="0.25">
      <c r="A452" s="2">
        <v>441</v>
      </c>
      <c r="B452" s="2">
        <v>0.2</v>
      </c>
      <c r="C452" s="2">
        <v>0.5</v>
      </c>
      <c r="D452" s="2">
        <v>0.82499999999999996</v>
      </c>
      <c r="E452" s="2">
        <v>1</v>
      </c>
      <c r="F452" s="2">
        <v>0.5</v>
      </c>
      <c r="G452" s="39">
        <v>25.399999618530273</v>
      </c>
      <c r="H452">
        <v>2.9173343181610107</v>
      </c>
    </row>
    <row r="453" spans="1:8" x14ac:dyDescent="0.25">
      <c r="A453" s="2">
        <v>442</v>
      </c>
      <c r="B453" s="2">
        <v>0.2</v>
      </c>
      <c r="C453" s="2">
        <v>0.5</v>
      </c>
      <c r="D453" s="2">
        <v>0.82499999999999996</v>
      </c>
      <c r="E453" s="2">
        <v>5.5</v>
      </c>
      <c r="F453" s="2">
        <v>0.1</v>
      </c>
      <c r="G453" s="39">
        <v>12.699999809265137</v>
      </c>
      <c r="H453">
        <v>0.649830162525177</v>
      </c>
    </row>
    <row r="454" spans="1:8" x14ac:dyDescent="0.25">
      <c r="A454" s="2">
        <v>443</v>
      </c>
      <c r="B454" s="2">
        <v>0.2</v>
      </c>
      <c r="C454" s="2">
        <v>0.5</v>
      </c>
      <c r="D454" s="2">
        <v>0.82499999999999996</v>
      </c>
      <c r="E454" s="2">
        <v>5.5</v>
      </c>
      <c r="F454" s="2">
        <v>0.1</v>
      </c>
      <c r="G454" s="39">
        <v>15.899999618530273</v>
      </c>
      <c r="H454">
        <v>0.52518528699874878</v>
      </c>
    </row>
    <row r="455" spans="1:8" x14ac:dyDescent="0.25">
      <c r="A455" s="2">
        <v>444</v>
      </c>
      <c r="B455" s="2">
        <v>0.2</v>
      </c>
      <c r="C455" s="2">
        <v>0.5</v>
      </c>
      <c r="D455" s="2">
        <v>0.82499999999999996</v>
      </c>
      <c r="E455" s="2">
        <v>5.5</v>
      </c>
      <c r="F455" s="2">
        <v>0.1</v>
      </c>
      <c r="G455" s="39">
        <v>25.399999618530273</v>
      </c>
      <c r="H455">
        <v>0.46360376477241516</v>
      </c>
    </row>
    <row r="456" spans="1:8" x14ac:dyDescent="0.25">
      <c r="A456" s="2">
        <v>445</v>
      </c>
      <c r="B456" s="2">
        <v>0.2</v>
      </c>
      <c r="C456" s="2">
        <v>0.5</v>
      </c>
      <c r="D456" s="2">
        <v>0.82499999999999996</v>
      </c>
      <c r="E456" s="2">
        <v>5.5</v>
      </c>
      <c r="F456" s="2">
        <v>0.3</v>
      </c>
      <c r="G456" s="39">
        <v>12.699999809265137</v>
      </c>
      <c r="H456">
        <v>0.44941335916519165</v>
      </c>
    </row>
    <row r="457" spans="1:8" x14ac:dyDescent="0.25">
      <c r="A457" s="2">
        <v>446</v>
      </c>
      <c r="B457" s="2">
        <v>0.2</v>
      </c>
      <c r="C457" s="2">
        <v>0.5</v>
      </c>
      <c r="D457" s="2">
        <v>0.82499999999999996</v>
      </c>
      <c r="E457" s="2">
        <v>5.5</v>
      </c>
      <c r="F457" s="2">
        <v>0.3</v>
      </c>
      <c r="G457" s="39">
        <v>15.899999618530273</v>
      </c>
      <c r="H457">
        <v>0.36321073770523071</v>
      </c>
    </row>
    <row r="458" spans="1:8" x14ac:dyDescent="0.25">
      <c r="A458" s="2">
        <v>447</v>
      </c>
      <c r="B458" s="2">
        <v>0.2</v>
      </c>
      <c r="C458" s="2">
        <v>0.5</v>
      </c>
      <c r="D458" s="2">
        <v>0.82499999999999996</v>
      </c>
      <c r="E458" s="2">
        <v>5.5</v>
      </c>
      <c r="F458" s="2">
        <v>0.3</v>
      </c>
      <c r="G458" s="39">
        <v>25.399999618530273</v>
      </c>
      <c r="H458">
        <v>0.32062181830406189</v>
      </c>
    </row>
    <row r="459" spans="1:8" x14ac:dyDescent="0.25">
      <c r="A459" s="2">
        <v>448</v>
      </c>
      <c r="B459" s="2">
        <v>0.2</v>
      </c>
      <c r="C459" s="2">
        <v>0.5</v>
      </c>
      <c r="D459" s="2">
        <v>0.82499999999999996</v>
      </c>
      <c r="E459" s="2">
        <v>5.5</v>
      </c>
      <c r="F459" s="2">
        <v>0.5</v>
      </c>
      <c r="G459" s="39">
        <v>12.699999809265137</v>
      </c>
      <c r="H459">
        <v>0.79132837057113647</v>
      </c>
    </row>
    <row r="460" spans="1:8" x14ac:dyDescent="0.25">
      <c r="A460" s="2">
        <v>449</v>
      </c>
      <c r="B460" s="2">
        <v>0.2</v>
      </c>
      <c r="C460" s="2">
        <v>0.5</v>
      </c>
      <c r="D460" s="2">
        <v>0.82499999999999996</v>
      </c>
      <c r="E460" s="2">
        <v>5.5</v>
      </c>
      <c r="F460" s="2">
        <v>0.5</v>
      </c>
      <c r="G460" s="39">
        <v>15.899999618530273</v>
      </c>
      <c r="H460">
        <v>0.63954252004623413</v>
      </c>
    </row>
    <row r="461" spans="1:8" x14ac:dyDescent="0.25">
      <c r="A461" s="2">
        <v>450</v>
      </c>
      <c r="B461" s="2">
        <v>0.2</v>
      </c>
      <c r="C461" s="2">
        <v>0.5</v>
      </c>
      <c r="D461" s="2">
        <v>0.82499999999999996</v>
      </c>
      <c r="E461" s="2">
        <v>5.5</v>
      </c>
      <c r="F461" s="2">
        <v>0.5</v>
      </c>
      <c r="G461" s="39">
        <v>25.399999618530273</v>
      </c>
      <c r="H461">
        <v>0.56455183029174805</v>
      </c>
    </row>
    <row r="462" spans="1:8" x14ac:dyDescent="0.25">
      <c r="A462" s="2">
        <v>451</v>
      </c>
      <c r="B462" s="2">
        <v>0.2</v>
      </c>
      <c r="C462" s="2">
        <v>0.5</v>
      </c>
      <c r="D462" s="2">
        <v>0.82499999999999996</v>
      </c>
      <c r="E462" s="2">
        <v>10</v>
      </c>
      <c r="F462" s="2">
        <v>0.1</v>
      </c>
      <c r="G462" s="39">
        <v>12.699999809265137</v>
      </c>
      <c r="H462">
        <v>0.15735098719596863</v>
      </c>
    </row>
    <row r="463" spans="1:8" x14ac:dyDescent="0.25">
      <c r="A463" s="2">
        <v>452</v>
      </c>
      <c r="B463" s="2">
        <v>0.2</v>
      </c>
      <c r="C463" s="2">
        <v>0.5</v>
      </c>
      <c r="D463" s="2">
        <v>0.82499999999999996</v>
      </c>
      <c r="E463" s="2">
        <v>10</v>
      </c>
      <c r="F463" s="2">
        <v>0.1</v>
      </c>
      <c r="G463" s="39">
        <v>15.899999618530273</v>
      </c>
      <c r="H463">
        <v>0.12716928124427795</v>
      </c>
    </row>
    <row r="464" spans="1:8" x14ac:dyDescent="0.25">
      <c r="A464" s="2">
        <v>453</v>
      </c>
      <c r="B464" s="2">
        <v>0.2</v>
      </c>
      <c r="C464" s="2">
        <v>0.5</v>
      </c>
      <c r="D464" s="2">
        <v>0.82499999999999996</v>
      </c>
      <c r="E464" s="2">
        <v>10</v>
      </c>
      <c r="F464" s="2">
        <v>0.1</v>
      </c>
      <c r="G464" s="39">
        <v>25.399999618530273</v>
      </c>
      <c r="H464">
        <v>0.11225781589746475</v>
      </c>
    </row>
    <row r="465" spans="1:8" x14ac:dyDescent="0.25">
      <c r="A465" s="2">
        <v>454</v>
      </c>
      <c r="B465" s="2">
        <v>0.2</v>
      </c>
      <c r="C465" s="2">
        <v>0.5</v>
      </c>
      <c r="D465" s="2">
        <v>0.82499999999999996</v>
      </c>
      <c r="E465" s="2">
        <v>10</v>
      </c>
      <c r="F465" s="2">
        <v>0.3</v>
      </c>
      <c r="G465" s="39">
        <v>12.699999809265137</v>
      </c>
      <c r="H465">
        <v>0.14024415612220764</v>
      </c>
    </row>
    <row r="466" spans="1:8" x14ac:dyDescent="0.25">
      <c r="A466" s="2">
        <v>455</v>
      </c>
      <c r="B466" s="2">
        <v>0.2</v>
      </c>
      <c r="C466" s="2">
        <v>0.5</v>
      </c>
      <c r="D466" s="2">
        <v>0.82499999999999996</v>
      </c>
      <c r="E466" s="2">
        <v>10</v>
      </c>
      <c r="F466" s="2">
        <v>0.3</v>
      </c>
      <c r="G466" s="39">
        <v>15.899999618530273</v>
      </c>
      <c r="H466">
        <v>0.11334372311830521</v>
      </c>
    </row>
    <row r="467" spans="1:8" x14ac:dyDescent="0.25">
      <c r="A467" s="2">
        <v>456</v>
      </c>
      <c r="B467" s="2">
        <v>0.2</v>
      </c>
      <c r="C467" s="2">
        <v>0.5</v>
      </c>
      <c r="D467" s="2">
        <v>0.82499999999999996</v>
      </c>
      <c r="E467" s="2">
        <v>10</v>
      </c>
      <c r="F467" s="2">
        <v>0.3</v>
      </c>
      <c r="G467" s="39">
        <v>25.399999618530273</v>
      </c>
      <c r="H467">
        <v>0.10005339980125427</v>
      </c>
    </row>
    <row r="468" spans="1:8" x14ac:dyDescent="0.25">
      <c r="A468" s="2">
        <v>457</v>
      </c>
      <c r="B468" s="2">
        <v>0.2</v>
      </c>
      <c r="C468" s="2">
        <v>0.5</v>
      </c>
      <c r="D468" s="2">
        <v>0.82499999999999996</v>
      </c>
      <c r="E468" s="2">
        <v>10</v>
      </c>
      <c r="F468" s="2">
        <v>0.5</v>
      </c>
      <c r="G468" s="39">
        <v>12.699999809265137</v>
      </c>
      <c r="H468">
        <v>0.28343662619590759</v>
      </c>
    </row>
    <row r="469" spans="1:8" x14ac:dyDescent="0.25">
      <c r="A469" s="2">
        <v>458</v>
      </c>
      <c r="B469" s="2">
        <v>0.2</v>
      </c>
      <c r="C469" s="2">
        <v>0.5</v>
      </c>
      <c r="D469" s="2">
        <v>0.82499999999999996</v>
      </c>
      <c r="E469" s="2">
        <v>10</v>
      </c>
      <c r="F469" s="2">
        <v>0.5</v>
      </c>
      <c r="G469" s="39">
        <v>15.899999618530273</v>
      </c>
      <c r="H469">
        <v>0.22907024621963501</v>
      </c>
    </row>
    <row r="470" spans="1:8" x14ac:dyDescent="0.25">
      <c r="A470" s="2">
        <v>459</v>
      </c>
      <c r="B470" s="2">
        <v>0.2</v>
      </c>
      <c r="C470" s="2">
        <v>0.5</v>
      </c>
      <c r="D470" s="2">
        <v>0.82499999999999996</v>
      </c>
      <c r="E470" s="2">
        <v>10</v>
      </c>
      <c r="F470" s="2">
        <v>0.5</v>
      </c>
      <c r="G470" s="39">
        <v>25.399999618530273</v>
      </c>
      <c r="H470">
        <v>0.2022102028131485</v>
      </c>
    </row>
    <row r="471" spans="1:8" x14ac:dyDescent="0.25">
      <c r="A471" s="2">
        <v>460</v>
      </c>
      <c r="B471" s="2">
        <v>0.2</v>
      </c>
      <c r="C471" s="2">
        <v>0.5</v>
      </c>
      <c r="D471" s="2">
        <v>0.95</v>
      </c>
      <c r="E471" s="2">
        <v>1</v>
      </c>
      <c r="F471" s="2">
        <v>0.1</v>
      </c>
      <c r="G471" s="39">
        <v>12.699999809265137</v>
      </c>
      <c r="H471">
        <v>1.5430768728256226</v>
      </c>
    </row>
    <row r="472" spans="1:8" x14ac:dyDescent="0.25">
      <c r="A472" s="2">
        <v>461</v>
      </c>
      <c r="B472" s="2">
        <v>0.2</v>
      </c>
      <c r="C472" s="2">
        <v>0.5</v>
      </c>
      <c r="D472" s="2">
        <v>0.95</v>
      </c>
      <c r="E472" s="2">
        <v>1</v>
      </c>
      <c r="F472" s="2">
        <v>0.1</v>
      </c>
      <c r="G472" s="39">
        <v>15.899999618530273</v>
      </c>
      <c r="H472">
        <v>1.2470971345901489</v>
      </c>
    </row>
    <row r="473" spans="1:8" x14ac:dyDescent="0.25">
      <c r="A473" s="2">
        <v>462</v>
      </c>
      <c r="B473" s="2">
        <v>0.2</v>
      </c>
      <c r="C473" s="2">
        <v>0.5</v>
      </c>
      <c r="D473" s="2">
        <v>0.95</v>
      </c>
      <c r="E473" s="2">
        <v>1</v>
      </c>
      <c r="F473" s="2">
        <v>0.1</v>
      </c>
      <c r="G473" s="39">
        <v>25.399999618530273</v>
      </c>
      <c r="H473">
        <v>1.100866436958313</v>
      </c>
    </row>
    <row r="474" spans="1:8" x14ac:dyDescent="0.25">
      <c r="A474" s="2">
        <v>463</v>
      </c>
      <c r="B474" s="2">
        <v>0.2</v>
      </c>
      <c r="C474" s="2">
        <v>0.5</v>
      </c>
      <c r="D474" s="2">
        <v>0.95</v>
      </c>
      <c r="E474" s="2">
        <v>1</v>
      </c>
      <c r="F474" s="2">
        <v>0.3</v>
      </c>
      <c r="G474" s="39">
        <v>12.699999809265137</v>
      </c>
      <c r="H474">
        <v>1.2165704965591431</v>
      </c>
    </row>
    <row r="475" spans="1:8" x14ac:dyDescent="0.25">
      <c r="A475" s="2">
        <v>464</v>
      </c>
      <c r="B475" s="2">
        <v>0.2</v>
      </c>
      <c r="C475" s="2">
        <v>0.5</v>
      </c>
      <c r="D475" s="2">
        <v>0.95</v>
      </c>
      <c r="E475" s="2">
        <v>1</v>
      </c>
      <c r="F475" s="2">
        <v>0.3</v>
      </c>
      <c r="G475" s="39">
        <v>15.899999618530273</v>
      </c>
      <c r="H475">
        <v>0.98321837186813354</v>
      </c>
    </row>
    <row r="476" spans="1:8" x14ac:dyDescent="0.25">
      <c r="A476" s="2">
        <v>465</v>
      </c>
      <c r="B476" s="2">
        <v>0.2</v>
      </c>
      <c r="C476" s="2">
        <v>0.5</v>
      </c>
      <c r="D476" s="2">
        <v>0.95</v>
      </c>
      <c r="E476" s="2">
        <v>1</v>
      </c>
      <c r="F476" s="2">
        <v>0.3</v>
      </c>
      <c r="G476" s="39">
        <v>25.399999618530273</v>
      </c>
      <c r="H476">
        <v>0.86792933940887451</v>
      </c>
    </row>
    <row r="477" spans="1:8" x14ac:dyDescent="0.25">
      <c r="A477" s="2">
        <v>466</v>
      </c>
      <c r="B477" s="2">
        <v>0.2</v>
      </c>
      <c r="C477" s="2">
        <v>0.5</v>
      </c>
      <c r="D477" s="2">
        <v>0.95</v>
      </c>
      <c r="E477" s="2">
        <v>1</v>
      </c>
      <c r="F477" s="2">
        <v>0.5</v>
      </c>
      <c r="G477" s="39">
        <v>12.699999809265137</v>
      </c>
      <c r="H477">
        <v>2.3156557083129883</v>
      </c>
    </row>
    <row r="478" spans="1:8" x14ac:dyDescent="0.25">
      <c r="A478" s="2">
        <v>467</v>
      </c>
      <c r="B478" s="2">
        <v>0.2</v>
      </c>
      <c r="C478" s="2">
        <v>0.5</v>
      </c>
      <c r="D478" s="2">
        <v>0.95</v>
      </c>
      <c r="E478" s="2">
        <v>1</v>
      </c>
      <c r="F478" s="2">
        <v>0.5</v>
      </c>
      <c r="G478" s="39">
        <v>15.899999618530273</v>
      </c>
      <c r="H478">
        <v>1.8714866638183594</v>
      </c>
    </row>
    <row r="479" spans="1:8" x14ac:dyDescent="0.25">
      <c r="A479" s="2">
        <v>468</v>
      </c>
      <c r="B479" s="2">
        <v>0.2</v>
      </c>
      <c r="C479" s="2">
        <v>0.5</v>
      </c>
      <c r="D479" s="2">
        <v>0.95</v>
      </c>
      <c r="E479" s="2">
        <v>1</v>
      </c>
      <c r="F479" s="2">
        <v>0.5</v>
      </c>
      <c r="G479" s="39">
        <v>25.399999618530273</v>
      </c>
      <c r="H479">
        <v>1.652042031288147</v>
      </c>
    </row>
    <row r="480" spans="1:8" x14ac:dyDescent="0.25">
      <c r="A480" s="2">
        <v>469</v>
      </c>
      <c r="B480" s="2">
        <v>0.2</v>
      </c>
      <c r="C480" s="2">
        <v>0.5</v>
      </c>
      <c r="D480" s="2">
        <v>0.95</v>
      </c>
      <c r="E480" s="2">
        <v>5.5</v>
      </c>
      <c r="F480" s="2">
        <v>0.1</v>
      </c>
      <c r="G480" s="39">
        <v>12.699999809265137</v>
      </c>
      <c r="H480">
        <v>0.36798891425132751</v>
      </c>
    </row>
    <row r="481" spans="1:8" x14ac:dyDescent="0.25">
      <c r="A481" s="2">
        <v>470</v>
      </c>
      <c r="B481" s="2">
        <v>0.2</v>
      </c>
      <c r="C481" s="2">
        <v>0.5</v>
      </c>
      <c r="D481" s="2">
        <v>0.95</v>
      </c>
      <c r="E481" s="2">
        <v>5.5</v>
      </c>
      <c r="F481" s="2">
        <v>0.1</v>
      </c>
      <c r="G481" s="39">
        <v>15.899999618530273</v>
      </c>
      <c r="H481">
        <v>0.29740443825721741</v>
      </c>
    </row>
    <row r="482" spans="1:8" x14ac:dyDescent="0.25">
      <c r="A482" s="2">
        <v>471</v>
      </c>
      <c r="B482" s="2">
        <v>0.2</v>
      </c>
      <c r="C482" s="2">
        <v>0.5</v>
      </c>
      <c r="D482" s="2">
        <v>0.95</v>
      </c>
      <c r="E482" s="2">
        <v>5.5</v>
      </c>
      <c r="F482" s="2">
        <v>0.1</v>
      </c>
      <c r="G482" s="39">
        <v>25.399999618530273</v>
      </c>
      <c r="H482">
        <v>0.26253175735473633</v>
      </c>
    </row>
    <row r="483" spans="1:8" x14ac:dyDescent="0.25">
      <c r="A483" s="2">
        <v>472</v>
      </c>
      <c r="B483" s="2">
        <v>0.2</v>
      </c>
      <c r="C483" s="2">
        <v>0.5</v>
      </c>
      <c r="D483" s="2">
        <v>0.95</v>
      </c>
      <c r="E483" s="2">
        <v>5.5</v>
      </c>
      <c r="F483" s="2">
        <v>0.3</v>
      </c>
      <c r="G483" s="39">
        <v>12.699999809265137</v>
      </c>
      <c r="H483">
        <v>0.25449594855308533</v>
      </c>
    </row>
    <row r="484" spans="1:8" x14ac:dyDescent="0.25">
      <c r="A484" s="2">
        <v>473</v>
      </c>
      <c r="B484" s="2">
        <v>0.2</v>
      </c>
      <c r="C484" s="2">
        <v>0.5</v>
      </c>
      <c r="D484" s="2">
        <v>0.95</v>
      </c>
      <c r="E484" s="2">
        <v>5.5</v>
      </c>
      <c r="F484" s="2">
        <v>0.3</v>
      </c>
      <c r="G484" s="39">
        <v>15.899999618530273</v>
      </c>
      <c r="H484">
        <v>0.20568071305751801</v>
      </c>
    </row>
    <row r="485" spans="1:8" x14ac:dyDescent="0.25">
      <c r="A485" s="2">
        <v>474</v>
      </c>
      <c r="B485" s="2">
        <v>0.2</v>
      </c>
      <c r="C485" s="2">
        <v>0.5</v>
      </c>
      <c r="D485" s="2">
        <v>0.95</v>
      </c>
      <c r="E485" s="2">
        <v>5.5</v>
      </c>
      <c r="F485" s="2">
        <v>0.3</v>
      </c>
      <c r="G485" s="39">
        <v>25.399999618530273</v>
      </c>
      <c r="H485">
        <v>0.18156324326992035</v>
      </c>
    </row>
    <row r="486" spans="1:8" x14ac:dyDescent="0.25">
      <c r="A486" s="2">
        <v>475</v>
      </c>
      <c r="B486" s="2">
        <v>0.2</v>
      </c>
      <c r="C486" s="2">
        <v>0.5</v>
      </c>
      <c r="D486" s="2">
        <v>0.95</v>
      </c>
      <c r="E486" s="2">
        <v>5.5</v>
      </c>
      <c r="F486" s="2">
        <v>0.5</v>
      </c>
      <c r="G486" s="39">
        <v>12.699999809265137</v>
      </c>
      <c r="H486">
        <v>0.44811719655990601</v>
      </c>
    </row>
    <row r="487" spans="1:8" x14ac:dyDescent="0.25">
      <c r="A487" s="2">
        <v>476</v>
      </c>
      <c r="B487" s="2">
        <v>0.2</v>
      </c>
      <c r="C487" s="2">
        <v>0.5</v>
      </c>
      <c r="D487" s="2">
        <v>0.95</v>
      </c>
      <c r="E487" s="2">
        <v>5.5</v>
      </c>
      <c r="F487" s="2">
        <v>0.5</v>
      </c>
      <c r="G487" s="39">
        <v>15.899999618530273</v>
      </c>
      <c r="H487">
        <v>0.36216321587562561</v>
      </c>
    </row>
    <row r="488" spans="1:8" x14ac:dyDescent="0.25">
      <c r="A488" s="2">
        <v>477</v>
      </c>
      <c r="B488" s="2">
        <v>0.2</v>
      </c>
      <c r="C488" s="2">
        <v>0.5</v>
      </c>
      <c r="D488" s="2">
        <v>0.95</v>
      </c>
      <c r="E488" s="2">
        <v>5.5</v>
      </c>
      <c r="F488" s="2">
        <v>0.5</v>
      </c>
      <c r="G488" s="39">
        <v>25.399999618530273</v>
      </c>
      <c r="H488">
        <v>0.31969711184501648</v>
      </c>
    </row>
    <row r="489" spans="1:8" x14ac:dyDescent="0.25">
      <c r="A489" s="2">
        <v>478</v>
      </c>
      <c r="B489" s="2">
        <v>0.2</v>
      </c>
      <c r="C489" s="2">
        <v>0.5</v>
      </c>
      <c r="D489" s="2">
        <v>0.95</v>
      </c>
      <c r="E489" s="2">
        <v>10</v>
      </c>
      <c r="F489" s="2">
        <v>0.1</v>
      </c>
      <c r="G489" s="39">
        <v>12.699999809265137</v>
      </c>
      <c r="H489">
        <v>8.9105471968650818E-2</v>
      </c>
    </row>
    <row r="490" spans="1:8" x14ac:dyDescent="0.25">
      <c r="A490" s="2">
        <v>479</v>
      </c>
      <c r="B490" s="2">
        <v>0.2</v>
      </c>
      <c r="C490" s="2">
        <v>0.5</v>
      </c>
      <c r="D490" s="2">
        <v>0.95</v>
      </c>
      <c r="E490" s="2">
        <v>10</v>
      </c>
      <c r="F490" s="2">
        <v>0.1</v>
      </c>
      <c r="G490" s="39">
        <v>15.899999618530273</v>
      </c>
      <c r="H490">
        <v>7.2014026343822479E-2</v>
      </c>
    </row>
    <row r="491" spans="1:8" x14ac:dyDescent="0.25">
      <c r="A491" s="2">
        <v>480</v>
      </c>
      <c r="B491" s="2">
        <v>0.2</v>
      </c>
      <c r="C491" s="2">
        <v>0.5</v>
      </c>
      <c r="D491" s="2">
        <v>0.95</v>
      </c>
      <c r="E491" s="2">
        <v>10</v>
      </c>
      <c r="F491" s="2">
        <v>0.1</v>
      </c>
      <c r="G491" s="39">
        <v>25.399999618530273</v>
      </c>
      <c r="H491">
        <v>6.3569888472557068E-2</v>
      </c>
    </row>
    <row r="492" spans="1:8" x14ac:dyDescent="0.25">
      <c r="A492" s="2">
        <v>481</v>
      </c>
      <c r="B492" s="2">
        <v>0.2</v>
      </c>
      <c r="C492" s="2">
        <v>0.5</v>
      </c>
      <c r="D492" s="2">
        <v>0.95</v>
      </c>
      <c r="E492" s="2">
        <v>10</v>
      </c>
      <c r="F492" s="2">
        <v>0.3</v>
      </c>
      <c r="G492" s="39">
        <v>12.699999809265137</v>
      </c>
      <c r="H492">
        <v>7.9418130218982697E-2</v>
      </c>
    </row>
    <row r="493" spans="1:8" x14ac:dyDescent="0.25">
      <c r="A493" s="2">
        <v>482</v>
      </c>
      <c r="B493" s="2">
        <v>0.2</v>
      </c>
      <c r="C493" s="2">
        <v>0.5</v>
      </c>
      <c r="D493" s="2">
        <v>0.95</v>
      </c>
      <c r="E493" s="2">
        <v>10</v>
      </c>
      <c r="F493" s="2">
        <v>0.3</v>
      </c>
      <c r="G493" s="39">
        <v>15.899999618530273</v>
      </c>
      <c r="H493">
        <v>6.4184829592704773E-2</v>
      </c>
    </row>
    <row r="494" spans="1:8" x14ac:dyDescent="0.25">
      <c r="A494" s="2">
        <v>483</v>
      </c>
      <c r="B494" s="2">
        <v>0.2</v>
      </c>
      <c r="C494" s="2">
        <v>0.5</v>
      </c>
      <c r="D494" s="2">
        <v>0.95</v>
      </c>
      <c r="E494" s="2">
        <v>10</v>
      </c>
      <c r="F494" s="2">
        <v>0.3</v>
      </c>
      <c r="G494" s="39">
        <v>25.399999618530273</v>
      </c>
      <c r="H494">
        <v>5.665871873497963E-2</v>
      </c>
    </row>
    <row r="495" spans="1:8" x14ac:dyDescent="0.25">
      <c r="A495" s="2">
        <v>484</v>
      </c>
      <c r="B495" s="2">
        <v>0.2</v>
      </c>
      <c r="C495" s="2">
        <v>0.5</v>
      </c>
      <c r="D495" s="2">
        <v>0.95</v>
      </c>
      <c r="E495" s="2">
        <v>10</v>
      </c>
      <c r="F495" s="2">
        <v>0.5</v>
      </c>
      <c r="G495" s="39">
        <v>12.699999809265137</v>
      </c>
      <c r="H495">
        <v>0.16050584614276886</v>
      </c>
    </row>
    <row r="496" spans="1:8" x14ac:dyDescent="0.25">
      <c r="A496" s="2">
        <v>485</v>
      </c>
      <c r="B496" s="2">
        <v>0.2</v>
      </c>
      <c r="C496" s="2">
        <v>0.5</v>
      </c>
      <c r="D496" s="2">
        <v>0.95</v>
      </c>
      <c r="E496" s="2">
        <v>10</v>
      </c>
      <c r="F496" s="2">
        <v>0.5</v>
      </c>
      <c r="G496" s="39">
        <v>15.899999618530273</v>
      </c>
      <c r="H496">
        <v>0.12971898913383484</v>
      </c>
    </row>
    <row r="497" spans="1:8" x14ac:dyDescent="0.25">
      <c r="A497" s="2">
        <v>486</v>
      </c>
      <c r="B497" s="2">
        <v>0.2</v>
      </c>
      <c r="C497" s="2">
        <v>0.5</v>
      </c>
      <c r="D497" s="2">
        <v>0.95</v>
      </c>
      <c r="E497" s="2">
        <v>10</v>
      </c>
      <c r="F497" s="2">
        <v>0.5</v>
      </c>
      <c r="G497" s="39">
        <v>25.399999618530273</v>
      </c>
      <c r="H497">
        <v>0.11450856178998947</v>
      </c>
    </row>
    <row r="498" spans="1:8" x14ac:dyDescent="0.25">
      <c r="A498" s="2">
        <v>487</v>
      </c>
      <c r="B498" s="2">
        <v>0.3</v>
      </c>
      <c r="C498" s="2">
        <v>0.1</v>
      </c>
      <c r="D498" s="2">
        <v>0.7</v>
      </c>
      <c r="E498" s="2">
        <v>1</v>
      </c>
      <c r="F498" s="2">
        <v>0.1</v>
      </c>
      <c r="G498" s="39">
        <v>12.699999809265137</v>
      </c>
      <c r="H498">
        <v>6.3018569946289062</v>
      </c>
    </row>
    <row r="499" spans="1:8" x14ac:dyDescent="0.25">
      <c r="A499" s="2">
        <v>488</v>
      </c>
      <c r="B499" s="2">
        <v>0.3</v>
      </c>
      <c r="C499" s="2">
        <v>0.1</v>
      </c>
      <c r="D499" s="2">
        <v>0.7</v>
      </c>
      <c r="E499" s="2">
        <v>1</v>
      </c>
      <c r="F499" s="2">
        <v>0.1</v>
      </c>
      <c r="G499" s="39">
        <v>15.899999618530273</v>
      </c>
      <c r="H499" s="43">
        <v>5.0930891036987305</v>
      </c>
    </row>
    <row r="500" spans="1:8" x14ac:dyDescent="0.25">
      <c r="A500" s="2">
        <v>489</v>
      </c>
      <c r="B500" s="2">
        <v>0.3</v>
      </c>
      <c r="C500" s="2">
        <v>0.1</v>
      </c>
      <c r="D500" s="2">
        <v>0.7</v>
      </c>
      <c r="E500" s="2">
        <v>1</v>
      </c>
      <c r="F500" s="2">
        <v>0.1</v>
      </c>
      <c r="G500" s="39">
        <v>25.399999618530273</v>
      </c>
      <c r="H500">
        <v>4.4958896636962891</v>
      </c>
    </row>
    <row r="501" spans="1:8" x14ac:dyDescent="0.25">
      <c r="A501" s="2">
        <v>490</v>
      </c>
      <c r="B501" s="2">
        <v>0.3</v>
      </c>
      <c r="C501" s="2">
        <v>0.1</v>
      </c>
      <c r="D501" s="2">
        <v>0.7</v>
      </c>
      <c r="E501" s="2">
        <v>1</v>
      </c>
      <c r="F501" s="2">
        <v>0.3</v>
      </c>
      <c r="G501" s="39">
        <v>12.699999809265137</v>
      </c>
      <c r="H501">
        <v>16.932960510253906</v>
      </c>
    </row>
    <row r="502" spans="1:8" x14ac:dyDescent="0.25">
      <c r="A502" s="2">
        <v>491</v>
      </c>
      <c r="B502" s="2">
        <v>0.3</v>
      </c>
      <c r="C502" s="2">
        <v>0.1</v>
      </c>
      <c r="D502" s="2">
        <v>0.7</v>
      </c>
      <c r="E502" s="2">
        <v>1</v>
      </c>
      <c r="F502" s="2">
        <v>0.3</v>
      </c>
      <c r="G502" s="39">
        <v>15.899999618530273</v>
      </c>
      <c r="H502">
        <v>13.685025215148926</v>
      </c>
    </row>
    <row r="503" spans="1:8" x14ac:dyDescent="0.25">
      <c r="A503" s="2">
        <v>492</v>
      </c>
      <c r="B503" s="2">
        <v>0.3</v>
      </c>
      <c r="C503" s="2">
        <v>0.1</v>
      </c>
      <c r="D503" s="2">
        <v>0.7</v>
      </c>
      <c r="E503" s="2">
        <v>1</v>
      </c>
      <c r="F503" s="2">
        <v>0.3</v>
      </c>
      <c r="G503" s="39">
        <v>25.399999618530273</v>
      </c>
      <c r="H503">
        <v>12.080363273620605</v>
      </c>
    </row>
    <row r="504" spans="1:8" x14ac:dyDescent="0.25">
      <c r="A504" s="2">
        <v>493</v>
      </c>
      <c r="B504" s="2">
        <v>0.3</v>
      </c>
      <c r="C504" s="2">
        <v>0.1</v>
      </c>
      <c r="D504" s="2">
        <v>0.7</v>
      </c>
      <c r="E504" s="2">
        <v>1</v>
      </c>
      <c r="F504" s="2">
        <v>0.5</v>
      </c>
      <c r="G504" s="39">
        <v>12.699999809265137</v>
      </c>
      <c r="H504">
        <v>45.594509124755859</v>
      </c>
    </row>
    <row r="505" spans="1:8" x14ac:dyDescent="0.25">
      <c r="A505" s="2">
        <v>494</v>
      </c>
      <c r="B505" s="2">
        <v>0.3</v>
      </c>
      <c r="C505" s="2">
        <v>0.1</v>
      </c>
      <c r="D505" s="2">
        <v>0.7</v>
      </c>
      <c r="E505" s="2">
        <v>1</v>
      </c>
      <c r="F505" s="2">
        <v>0.5</v>
      </c>
      <c r="G505" s="39">
        <v>15.899999618530273</v>
      </c>
      <c r="H505">
        <v>36.848960876464844</v>
      </c>
    </row>
    <row r="506" spans="1:8" x14ac:dyDescent="0.25">
      <c r="A506" s="2">
        <v>495</v>
      </c>
      <c r="B506" s="2">
        <v>0.3</v>
      </c>
      <c r="C506" s="2">
        <v>0.1</v>
      </c>
      <c r="D506" s="2">
        <v>0.7</v>
      </c>
      <c r="E506" s="2">
        <v>1</v>
      </c>
      <c r="F506" s="2">
        <v>0.5</v>
      </c>
      <c r="G506" s="39">
        <v>25.399999618530273</v>
      </c>
      <c r="H506">
        <v>32.528171539306641</v>
      </c>
    </row>
    <row r="507" spans="1:8" x14ac:dyDescent="0.25">
      <c r="A507" s="2">
        <v>496</v>
      </c>
      <c r="B507" s="2">
        <v>0.3</v>
      </c>
      <c r="C507" s="2">
        <v>0.1</v>
      </c>
      <c r="D507" s="2">
        <v>0.7</v>
      </c>
      <c r="E507" s="2">
        <v>5.5</v>
      </c>
      <c r="F507" s="2">
        <v>0.1</v>
      </c>
      <c r="G507" s="39">
        <v>12.699999809265137</v>
      </c>
      <c r="H507">
        <v>12.704849243164063</v>
      </c>
    </row>
    <row r="508" spans="1:8" x14ac:dyDescent="0.25">
      <c r="A508" s="2">
        <v>497</v>
      </c>
      <c r="B508" s="2">
        <v>0.3</v>
      </c>
      <c r="C508" s="2">
        <v>0.1</v>
      </c>
      <c r="D508" s="2">
        <v>0.7</v>
      </c>
      <c r="E508" s="2">
        <v>5.5</v>
      </c>
      <c r="F508" s="2">
        <v>0.1</v>
      </c>
      <c r="G508" s="39">
        <v>15.899999618530273</v>
      </c>
      <c r="H508">
        <v>10.267913818359375</v>
      </c>
    </row>
    <row r="509" spans="1:8" x14ac:dyDescent="0.25">
      <c r="A509" s="2">
        <v>498</v>
      </c>
      <c r="B509" s="2">
        <v>0.3</v>
      </c>
      <c r="C509" s="2">
        <v>0.1</v>
      </c>
      <c r="D509" s="2">
        <v>0.7</v>
      </c>
      <c r="E509" s="2">
        <v>5.5</v>
      </c>
      <c r="F509" s="2">
        <v>0.1</v>
      </c>
      <c r="G509" s="39">
        <v>25.399999618530273</v>
      </c>
      <c r="H509">
        <v>9.0639314651489258</v>
      </c>
    </row>
    <row r="510" spans="1:8" x14ac:dyDescent="0.25">
      <c r="A510" s="2">
        <v>499</v>
      </c>
      <c r="B510" s="2">
        <v>0.3</v>
      </c>
      <c r="C510" s="2">
        <v>0.1</v>
      </c>
      <c r="D510" s="2">
        <v>0.7</v>
      </c>
      <c r="E510" s="2">
        <v>5.5</v>
      </c>
      <c r="F510" s="2">
        <v>0.3</v>
      </c>
      <c r="G510" s="39">
        <v>12.699999809265137</v>
      </c>
      <c r="H510">
        <v>8.85003662109375</v>
      </c>
    </row>
    <row r="511" spans="1:8" x14ac:dyDescent="0.25">
      <c r="A511" s="2">
        <v>500</v>
      </c>
      <c r="B511" s="2">
        <v>0.3</v>
      </c>
      <c r="C511" s="2">
        <v>0.1</v>
      </c>
      <c r="D511" s="2">
        <v>0.7</v>
      </c>
      <c r="E511" s="2">
        <v>5.5</v>
      </c>
      <c r="F511" s="2">
        <v>0.3</v>
      </c>
      <c r="G511" s="39">
        <v>15.899999618530273</v>
      </c>
      <c r="H511">
        <v>7.152498722076416</v>
      </c>
    </row>
    <row r="512" spans="1:8" x14ac:dyDescent="0.25">
      <c r="A512" s="2">
        <v>501</v>
      </c>
      <c r="B512" s="2">
        <v>0.3</v>
      </c>
      <c r="C512" s="2">
        <v>0.1</v>
      </c>
      <c r="D512" s="2">
        <v>0.7</v>
      </c>
      <c r="E512" s="2">
        <v>5.5</v>
      </c>
      <c r="F512" s="2">
        <v>0.3</v>
      </c>
      <c r="G512" s="39">
        <v>25.399999618530273</v>
      </c>
      <c r="H512">
        <v>6.3138198852539063</v>
      </c>
    </row>
    <row r="513" spans="1:8" x14ac:dyDescent="0.25">
      <c r="A513" s="2">
        <v>502</v>
      </c>
      <c r="B513" s="2">
        <v>0.3</v>
      </c>
      <c r="C513" s="2">
        <v>0.1</v>
      </c>
      <c r="D513" s="2">
        <v>0.7</v>
      </c>
      <c r="E513" s="2">
        <v>5.5</v>
      </c>
      <c r="F513" s="2">
        <v>0.5</v>
      </c>
      <c r="G513" s="39">
        <v>12.699999809265137</v>
      </c>
      <c r="H513">
        <v>15.811149597167969</v>
      </c>
    </row>
    <row r="514" spans="1:8" x14ac:dyDescent="0.25">
      <c r="A514" s="2">
        <v>503</v>
      </c>
      <c r="B514" s="2">
        <v>0.3</v>
      </c>
      <c r="C514" s="2">
        <v>0.1</v>
      </c>
      <c r="D514" s="2">
        <v>0.7</v>
      </c>
      <c r="E514" s="2">
        <v>5.5</v>
      </c>
      <c r="F514" s="2">
        <v>0.5</v>
      </c>
      <c r="G514" s="39">
        <v>15.899999618530273</v>
      </c>
      <c r="H514">
        <v>12.778390884399414</v>
      </c>
    </row>
    <row r="515" spans="1:8" x14ac:dyDescent="0.25">
      <c r="A515" s="2">
        <v>504</v>
      </c>
      <c r="B515" s="2">
        <v>0.3</v>
      </c>
      <c r="C515" s="2">
        <v>0.1</v>
      </c>
      <c r="D515" s="2">
        <v>0.7</v>
      </c>
      <c r="E515" s="2">
        <v>5.5</v>
      </c>
      <c r="F515" s="2">
        <v>0.5</v>
      </c>
      <c r="G515" s="39">
        <v>25.399999618530273</v>
      </c>
      <c r="H515">
        <v>11.280037879943848</v>
      </c>
    </row>
    <row r="516" spans="1:8" x14ac:dyDescent="0.25">
      <c r="A516" s="2">
        <v>505</v>
      </c>
      <c r="B516" s="2">
        <v>0.3</v>
      </c>
      <c r="C516" s="2">
        <v>0.1</v>
      </c>
      <c r="D516" s="2">
        <v>0.7</v>
      </c>
      <c r="E516" s="2">
        <v>10</v>
      </c>
      <c r="F516" s="2">
        <v>0.1</v>
      </c>
      <c r="G516" s="39">
        <v>12.699999809265137</v>
      </c>
      <c r="H516">
        <v>10.921794891357422</v>
      </c>
    </row>
    <row r="517" spans="1:8" x14ac:dyDescent="0.25">
      <c r="A517" s="2">
        <v>506</v>
      </c>
      <c r="B517" s="2">
        <v>0.3</v>
      </c>
      <c r="C517" s="2">
        <v>0.1</v>
      </c>
      <c r="D517" s="2">
        <v>0.7</v>
      </c>
      <c r="E517" s="2">
        <v>10</v>
      </c>
      <c r="F517" s="2">
        <v>0.1</v>
      </c>
      <c r="G517" s="39">
        <v>15.899999618530273</v>
      </c>
      <c r="H517">
        <v>8.8268699645996094</v>
      </c>
    </row>
    <row r="518" spans="1:8" x14ac:dyDescent="0.25">
      <c r="A518" s="2">
        <v>507</v>
      </c>
      <c r="B518" s="2">
        <v>0.3</v>
      </c>
      <c r="C518" s="2">
        <v>0.1</v>
      </c>
      <c r="D518" s="2">
        <v>0.7</v>
      </c>
      <c r="E518" s="2">
        <v>10</v>
      </c>
      <c r="F518" s="2">
        <v>0.1</v>
      </c>
      <c r="G518" s="39">
        <v>25.399999618530273</v>
      </c>
      <c r="H518">
        <v>7.7918591499328613</v>
      </c>
    </row>
    <row r="519" spans="1:8" x14ac:dyDescent="0.25">
      <c r="A519" s="2">
        <v>508</v>
      </c>
      <c r="B519" s="2">
        <v>0.3</v>
      </c>
      <c r="C519" s="2">
        <v>0.1</v>
      </c>
      <c r="D519" s="2">
        <v>0.7</v>
      </c>
      <c r="E519" s="2">
        <v>10</v>
      </c>
      <c r="F519" s="2">
        <v>0.3</v>
      </c>
      <c r="G519" s="39">
        <v>12.699999809265137</v>
      </c>
      <c r="H519">
        <v>7.0284996032714844</v>
      </c>
    </row>
    <row r="520" spans="1:8" x14ac:dyDescent="0.25">
      <c r="A520" s="2">
        <v>509</v>
      </c>
      <c r="B520" s="2">
        <v>0.3</v>
      </c>
      <c r="C520" s="2">
        <v>0.1</v>
      </c>
      <c r="D520" s="2">
        <v>0.7</v>
      </c>
      <c r="E520" s="2">
        <v>10</v>
      </c>
      <c r="F520" s="2">
        <v>0.3</v>
      </c>
      <c r="G520" s="39">
        <v>15.899999618530273</v>
      </c>
      <c r="H520">
        <v>5.6803531646728516</v>
      </c>
    </row>
    <row r="521" spans="1:8" x14ac:dyDescent="0.25">
      <c r="A521" s="2">
        <v>510</v>
      </c>
      <c r="B521" s="2">
        <v>0.3</v>
      </c>
      <c r="C521" s="2">
        <v>0.1</v>
      </c>
      <c r="D521" s="2">
        <v>0.7</v>
      </c>
      <c r="E521" s="2">
        <v>10</v>
      </c>
      <c r="F521" s="2">
        <v>0.3</v>
      </c>
      <c r="G521" s="39">
        <v>25.399999618530273</v>
      </c>
      <c r="H521">
        <v>5.0142931938171387</v>
      </c>
    </row>
    <row r="522" spans="1:8" x14ac:dyDescent="0.25">
      <c r="A522" s="2">
        <v>511</v>
      </c>
      <c r="B522" s="2">
        <v>0.3</v>
      </c>
      <c r="C522" s="2">
        <v>0.1</v>
      </c>
      <c r="D522" s="2">
        <v>0.7</v>
      </c>
      <c r="E522" s="2">
        <v>10</v>
      </c>
      <c r="F522" s="2">
        <v>0.5</v>
      </c>
      <c r="G522" s="39">
        <v>12.699999809265137</v>
      </c>
      <c r="H522">
        <v>11.848037719726563</v>
      </c>
    </row>
    <row r="523" spans="1:8" x14ac:dyDescent="0.25">
      <c r="A523" s="2">
        <v>512</v>
      </c>
      <c r="B523" s="2">
        <v>0.3</v>
      </c>
      <c r="C523" s="2">
        <v>0.1</v>
      </c>
      <c r="D523" s="2">
        <v>0.7</v>
      </c>
      <c r="E523" s="2">
        <v>10</v>
      </c>
      <c r="F523" s="2">
        <v>0.5</v>
      </c>
      <c r="G523" s="39">
        <v>15.899999618530273</v>
      </c>
      <c r="H523">
        <v>9.5754489898681641</v>
      </c>
    </row>
    <row r="524" spans="1:8" x14ac:dyDescent="0.25">
      <c r="A524" s="2">
        <v>513</v>
      </c>
      <c r="B524" s="2">
        <v>0.3</v>
      </c>
      <c r="C524" s="2">
        <v>0.1</v>
      </c>
      <c r="D524" s="2">
        <v>0.7</v>
      </c>
      <c r="E524" s="2">
        <v>10</v>
      </c>
      <c r="F524" s="2">
        <v>0.5</v>
      </c>
      <c r="G524" s="39">
        <v>25.399999618530273</v>
      </c>
      <c r="H524">
        <v>8.452662467956543</v>
      </c>
    </row>
    <row r="525" spans="1:8" x14ac:dyDescent="0.25">
      <c r="A525" s="2">
        <v>514</v>
      </c>
      <c r="B525" s="2">
        <v>0.3</v>
      </c>
      <c r="C525" s="2">
        <v>0.1</v>
      </c>
      <c r="D525" s="2">
        <v>0.82499999999999996</v>
      </c>
      <c r="E525" s="2">
        <v>1</v>
      </c>
      <c r="F525" s="2">
        <v>0.1</v>
      </c>
      <c r="G525" s="39">
        <v>12.699999809265137</v>
      </c>
      <c r="H525">
        <v>4.3954734802246094</v>
      </c>
    </row>
    <row r="526" spans="1:8" x14ac:dyDescent="0.25">
      <c r="A526" s="2">
        <v>515</v>
      </c>
      <c r="B526" s="2">
        <v>0.3</v>
      </c>
      <c r="C526" s="2">
        <v>0.1</v>
      </c>
      <c r="D526" s="2">
        <v>0.82499999999999996</v>
      </c>
      <c r="E526" s="2">
        <v>1</v>
      </c>
      <c r="F526" s="2">
        <v>0.1</v>
      </c>
      <c r="G526" s="39">
        <v>15.899999618530273</v>
      </c>
      <c r="H526">
        <v>3.5523715019226074</v>
      </c>
    </row>
    <row r="527" spans="1:8" x14ac:dyDescent="0.25">
      <c r="A527" s="2">
        <v>516</v>
      </c>
      <c r="B527" s="2">
        <v>0.3</v>
      </c>
      <c r="C527" s="2">
        <v>0.1</v>
      </c>
      <c r="D527" s="2">
        <v>0.82499999999999996</v>
      </c>
      <c r="E527" s="2">
        <v>1</v>
      </c>
      <c r="F527" s="2">
        <v>0.1</v>
      </c>
      <c r="G527" s="39">
        <v>25.399999618530273</v>
      </c>
      <c r="H527">
        <v>3.1358315944671631</v>
      </c>
    </row>
    <row r="528" spans="1:8" x14ac:dyDescent="0.25">
      <c r="A528" s="2">
        <v>517</v>
      </c>
      <c r="B528" s="2">
        <v>0.3</v>
      </c>
      <c r="C528" s="2">
        <v>0.1</v>
      </c>
      <c r="D528" s="2">
        <v>0.82499999999999996</v>
      </c>
      <c r="E528" s="2">
        <v>1</v>
      </c>
      <c r="F528" s="2">
        <v>0.3</v>
      </c>
      <c r="G528" s="39">
        <v>12.699999809265137</v>
      </c>
      <c r="H528">
        <v>11.810545921325684</v>
      </c>
    </row>
    <row r="529" spans="1:8" x14ac:dyDescent="0.25">
      <c r="A529" s="2">
        <v>518</v>
      </c>
      <c r="B529" s="2">
        <v>0.3</v>
      </c>
      <c r="C529" s="2">
        <v>0.1</v>
      </c>
      <c r="D529" s="2">
        <v>0.82499999999999996</v>
      </c>
      <c r="E529" s="2">
        <v>1</v>
      </c>
      <c r="F529" s="2">
        <v>0.3</v>
      </c>
      <c r="G529" s="39">
        <v>15.899999618530273</v>
      </c>
      <c r="H529">
        <v>9.5451488494873047</v>
      </c>
    </row>
    <row r="530" spans="1:8" x14ac:dyDescent="0.25">
      <c r="A530" s="2">
        <v>519</v>
      </c>
      <c r="B530" s="2">
        <v>0.3</v>
      </c>
      <c r="C530" s="2">
        <v>0.1</v>
      </c>
      <c r="D530" s="2">
        <v>0.82499999999999996</v>
      </c>
      <c r="E530" s="2">
        <v>1</v>
      </c>
      <c r="F530" s="2">
        <v>0.3</v>
      </c>
      <c r="G530" s="39">
        <v>25.399999618530273</v>
      </c>
      <c r="H530">
        <v>8.4259147644042969</v>
      </c>
    </row>
    <row r="531" spans="1:8" x14ac:dyDescent="0.25">
      <c r="A531" s="2">
        <v>520</v>
      </c>
      <c r="B531" s="2">
        <v>0.3</v>
      </c>
      <c r="C531" s="2">
        <v>0.1</v>
      </c>
      <c r="D531" s="2">
        <v>0.82499999999999996</v>
      </c>
      <c r="E531" s="2">
        <v>1</v>
      </c>
      <c r="F531" s="2">
        <v>0.5</v>
      </c>
      <c r="G531" s="39">
        <v>12.699999809265137</v>
      </c>
      <c r="H531">
        <v>31.80164909362793</v>
      </c>
    </row>
    <row r="532" spans="1:8" x14ac:dyDescent="0.25">
      <c r="A532" s="2">
        <v>521</v>
      </c>
      <c r="B532" s="2">
        <v>0.3</v>
      </c>
      <c r="C532" s="2">
        <v>0.1</v>
      </c>
      <c r="D532" s="2">
        <v>0.82499999999999996</v>
      </c>
      <c r="E532" s="2">
        <v>1</v>
      </c>
      <c r="F532" s="2">
        <v>0.5</v>
      </c>
      <c r="G532" s="39">
        <v>15.899999618530273</v>
      </c>
      <c r="H532">
        <v>25.701730728149414</v>
      </c>
    </row>
    <row r="533" spans="1:8" x14ac:dyDescent="0.25">
      <c r="A533" s="2">
        <v>522</v>
      </c>
      <c r="B533" s="2">
        <v>0.3</v>
      </c>
      <c r="C533" s="2">
        <v>0.1</v>
      </c>
      <c r="D533" s="2">
        <v>0.82499999999999996</v>
      </c>
      <c r="E533" s="2">
        <v>1</v>
      </c>
      <c r="F533" s="2">
        <v>0.5</v>
      </c>
      <c r="G533" s="39">
        <v>25.399999618530273</v>
      </c>
      <c r="H533">
        <v>22.688026428222656</v>
      </c>
    </row>
    <row r="534" spans="1:8" x14ac:dyDescent="0.25">
      <c r="A534" s="2">
        <v>523</v>
      </c>
      <c r="B534" s="2">
        <v>0.3</v>
      </c>
      <c r="C534" s="2">
        <v>0.1</v>
      </c>
      <c r="D534" s="2">
        <v>0.82499999999999996</v>
      </c>
      <c r="E534" s="2">
        <v>5.5</v>
      </c>
      <c r="F534" s="2">
        <v>0.1</v>
      </c>
      <c r="G534" s="39">
        <v>12.699999809265137</v>
      </c>
      <c r="H534">
        <v>8.8614873886108398</v>
      </c>
    </row>
    <row r="535" spans="1:8" x14ac:dyDescent="0.25">
      <c r="A535" s="2">
        <v>524</v>
      </c>
      <c r="B535" s="2">
        <v>0.3</v>
      </c>
      <c r="C535" s="2">
        <v>0.1</v>
      </c>
      <c r="D535" s="2">
        <v>0.82499999999999996</v>
      </c>
      <c r="E535" s="2">
        <v>5.5</v>
      </c>
      <c r="F535" s="2">
        <v>0.1</v>
      </c>
      <c r="G535" s="39">
        <v>15.899999618530273</v>
      </c>
      <c r="H535">
        <v>7.1617527008056641</v>
      </c>
    </row>
    <row r="536" spans="1:8" x14ac:dyDescent="0.25">
      <c r="A536" s="2">
        <v>525</v>
      </c>
      <c r="B536" s="2">
        <v>0.3</v>
      </c>
      <c r="C536" s="2">
        <v>0.1</v>
      </c>
      <c r="D536" s="2">
        <v>0.82499999999999996</v>
      </c>
      <c r="E536" s="2">
        <v>5.5</v>
      </c>
      <c r="F536" s="2">
        <v>0.1</v>
      </c>
      <c r="G536" s="39">
        <v>25.399999618530273</v>
      </c>
      <c r="H536">
        <v>6.321988582611084</v>
      </c>
    </row>
    <row r="537" spans="1:8" x14ac:dyDescent="0.25">
      <c r="A537" s="2">
        <v>526</v>
      </c>
      <c r="B537" s="2">
        <v>0.3</v>
      </c>
      <c r="C537" s="2">
        <v>0.1</v>
      </c>
      <c r="D537" s="2">
        <v>0.82499999999999996</v>
      </c>
      <c r="E537" s="2">
        <v>5.5</v>
      </c>
      <c r="F537" s="2">
        <v>0.3</v>
      </c>
      <c r="G537" s="39">
        <v>12.699999809265137</v>
      </c>
      <c r="H537">
        <v>6.1727995872497559</v>
      </c>
    </row>
    <row r="538" spans="1:8" x14ac:dyDescent="0.25">
      <c r="A538" s="2">
        <v>527</v>
      </c>
      <c r="B538" s="2">
        <v>0.3</v>
      </c>
      <c r="C538" s="2">
        <v>0.1</v>
      </c>
      <c r="D538" s="2">
        <v>0.82499999999999996</v>
      </c>
      <c r="E538" s="2">
        <v>5.5</v>
      </c>
      <c r="F538" s="2">
        <v>0.3</v>
      </c>
      <c r="G538" s="39">
        <v>15.899999618530273</v>
      </c>
      <c r="H538">
        <v>4.9887862205505371</v>
      </c>
    </row>
    <row r="539" spans="1:8" x14ac:dyDescent="0.25">
      <c r="A539" s="2">
        <v>528</v>
      </c>
      <c r="B539" s="2">
        <v>0.3</v>
      </c>
      <c r="C539" s="2">
        <v>0.1</v>
      </c>
      <c r="D539" s="2">
        <v>0.82499999999999996</v>
      </c>
      <c r="E539" s="2">
        <v>5.5</v>
      </c>
      <c r="F539" s="2">
        <v>0.3</v>
      </c>
      <c r="G539" s="39">
        <v>25.399999618530273</v>
      </c>
      <c r="H539">
        <v>4.4038171768188477</v>
      </c>
    </row>
    <row r="540" spans="1:8" x14ac:dyDescent="0.25">
      <c r="A540" s="2">
        <v>529</v>
      </c>
      <c r="B540" s="2">
        <v>0.3</v>
      </c>
      <c r="C540" s="2">
        <v>0.1</v>
      </c>
      <c r="D540" s="2">
        <v>0.82499999999999996</v>
      </c>
      <c r="E540" s="2">
        <v>5.5</v>
      </c>
      <c r="F540" s="2">
        <v>0.5</v>
      </c>
      <c r="G540" s="39">
        <v>12.699999809265137</v>
      </c>
      <c r="H540">
        <v>11.028096199035645</v>
      </c>
    </row>
    <row r="541" spans="1:8" x14ac:dyDescent="0.25">
      <c r="A541" s="2">
        <v>530</v>
      </c>
      <c r="B541" s="2">
        <v>0.3</v>
      </c>
      <c r="C541" s="2">
        <v>0.1</v>
      </c>
      <c r="D541" s="2">
        <v>0.82499999999999996</v>
      </c>
      <c r="E541" s="2">
        <v>5.5</v>
      </c>
      <c r="F541" s="2">
        <v>0.5</v>
      </c>
      <c r="G541" s="39">
        <v>15.899999618530273</v>
      </c>
      <c r="H541">
        <v>8.9127817153930664</v>
      </c>
    </row>
    <row r="542" spans="1:8" x14ac:dyDescent="0.25">
      <c r="A542" s="2">
        <v>531</v>
      </c>
      <c r="B542" s="2">
        <v>0.3</v>
      </c>
      <c r="C542" s="2">
        <v>0.1</v>
      </c>
      <c r="D542" s="2">
        <v>0.82499999999999996</v>
      </c>
      <c r="E542" s="2">
        <v>5.5</v>
      </c>
      <c r="F542" s="2">
        <v>0.5</v>
      </c>
      <c r="G542" s="39">
        <v>25.399999618530273</v>
      </c>
      <c r="H542">
        <v>7.8676972389221191</v>
      </c>
    </row>
    <row r="543" spans="1:8" x14ac:dyDescent="0.25">
      <c r="A543" s="2">
        <v>532</v>
      </c>
      <c r="B543" s="2">
        <v>0.3</v>
      </c>
      <c r="C543" s="2">
        <v>0.1</v>
      </c>
      <c r="D543" s="2">
        <v>0.82499999999999996</v>
      </c>
      <c r="E543" s="2">
        <v>10</v>
      </c>
      <c r="F543" s="2">
        <v>0.1</v>
      </c>
      <c r="G543" s="39">
        <v>12.699999809265137</v>
      </c>
      <c r="H543">
        <v>7.6178269386291504</v>
      </c>
    </row>
    <row r="544" spans="1:8" x14ac:dyDescent="0.25">
      <c r="A544" s="2">
        <v>533</v>
      </c>
      <c r="B544" s="2">
        <v>0.3</v>
      </c>
      <c r="C544" s="2">
        <v>0.1</v>
      </c>
      <c r="D544" s="2">
        <v>0.82499999999999996</v>
      </c>
      <c r="E544" s="2">
        <v>10</v>
      </c>
      <c r="F544" s="2">
        <v>0.1</v>
      </c>
      <c r="G544" s="39">
        <v>15.899999618530273</v>
      </c>
      <c r="H544">
        <v>6.1566410064697266</v>
      </c>
    </row>
    <row r="545" spans="1:8" x14ac:dyDescent="0.25">
      <c r="A545" s="2">
        <v>534</v>
      </c>
      <c r="B545" s="2">
        <v>0.3</v>
      </c>
      <c r="C545" s="2">
        <v>0.1</v>
      </c>
      <c r="D545" s="2">
        <v>0.82499999999999996</v>
      </c>
      <c r="E545" s="2">
        <v>10</v>
      </c>
      <c r="F545" s="2">
        <v>0.1</v>
      </c>
      <c r="G545" s="39">
        <v>25.399999618530273</v>
      </c>
      <c r="H545">
        <v>5.4347329139709473</v>
      </c>
    </row>
    <row r="546" spans="1:8" x14ac:dyDescent="0.25">
      <c r="A546" s="2">
        <v>535</v>
      </c>
      <c r="B546" s="2">
        <v>0.3</v>
      </c>
      <c r="C546" s="2">
        <v>0.1</v>
      </c>
      <c r="D546" s="2">
        <v>0.82499999999999996</v>
      </c>
      <c r="E546" s="2">
        <v>10</v>
      </c>
      <c r="F546" s="2">
        <v>0.3</v>
      </c>
      <c r="G546" s="39">
        <v>12.699999809265137</v>
      </c>
      <c r="H546">
        <v>4.9022984504699707</v>
      </c>
    </row>
    <row r="547" spans="1:8" x14ac:dyDescent="0.25">
      <c r="A547" s="2">
        <v>536</v>
      </c>
      <c r="B547" s="2">
        <v>0.3</v>
      </c>
      <c r="C547" s="2">
        <v>0.1</v>
      </c>
      <c r="D547" s="2">
        <v>0.82499999999999996</v>
      </c>
      <c r="E547" s="2">
        <v>10</v>
      </c>
      <c r="F547" s="2">
        <v>0.3</v>
      </c>
      <c r="G547" s="39">
        <v>15.899999618530273</v>
      </c>
      <c r="H547">
        <v>3.9619815349578857</v>
      </c>
    </row>
    <row r="548" spans="1:8" x14ac:dyDescent="0.25">
      <c r="A548" s="2">
        <v>537</v>
      </c>
      <c r="B548" s="2">
        <v>0.3</v>
      </c>
      <c r="C548" s="2">
        <v>0.1</v>
      </c>
      <c r="D548" s="2">
        <v>0.82499999999999996</v>
      </c>
      <c r="E548" s="2">
        <v>10</v>
      </c>
      <c r="F548" s="2">
        <v>0.3</v>
      </c>
      <c r="G548" s="39">
        <v>25.399999618530273</v>
      </c>
      <c r="H548">
        <v>3.4974122047424316</v>
      </c>
    </row>
    <row r="549" spans="1:8" x14ac:dyDescent="0.25">
      <c r="A549" s="2">
        <v>538</v>
      </c>
      <c r="B549" s="2">
        <v>0.3</v>
      </c>
      <c r="C549" s="2">
        <v>0.1</v>
      </c>
      <c r="D549" s="2">
        <v>0.82499999999999996</v>
      </c>
      <c r="E549" s="2">
        <v>10</v>
      </c>
      <c r="F549" s="2">
        <v>0.5</v>
      </c>
      <c r="G549" s="39">
        <v>12.699999809265137</v>
      </c>
      <c r="H549">
        <v>8.2638711929321289</v>
      </c>
    </row>
    <row r="550" spans="1:8" x14ac:dyDescent="0.25">
      <c r="A550" s="2">
        <v>539</v>
      </c>
      <c r="B550" s="2">
        <v>0.3</v>
      </c>
      <c r="C550" s="2">
        <v>0.1</v>
      </c>
      <c r="D550" s="2">
        <v>0.82499999999999996</v>
      </c>
      <c r="E550" s="2">
        <v>10</v>
      </c>
      <c r="F550" s="2">
        <v>0.5</v>
      </c>
      <c r="G550" s="39">
        <v>15.899999618530273</v>
      </c>
      <c r="H550">
        <v>6.6787662506103516</v>
      </c>
    </row>
    <row r="551" spans="1:8" x14ac:dyDescent="0.25">
      <c r="A551" s="2">
        <v>540</v>
      </c>
      <c r="B551" s="2">
        <v>0.3</v>
      </c>
      <c r="C551" s="2">
        <v>0.1</v>
      </c>
      <c r="D551" s="2">
        <v>0.82499999999999996</v>
      </c>
      <c r="E551" s="2">
        <v>10</v>
      </c>
      <c r="F551" s="2">
        <v>0.5</v>
      </c>
      <c r="G551" s="39">
        <v>25.399999618530273</v>
      </c>
      <c r="H551">
        <v>5.8956356048583984</v>
      </c>
    </row>
    <row r="552" spans="1:8" x14ac:dyDescent="0.25">
      <c r="A552" s="2">
        <v>541</v>
      </c>
      <c r="B552" s="2">
        <v>0.3</v>
      </c>
      <c r="C552" s="2">
        <v>0.1</v>
      </c>
      <c r="D552" s="2">
        <v>0.95</v>
      </c>
      <c r="E552" s="2">
        <v>1</v>
      </c>
      <c r="F552" s="2">
        <v>0.1</v>
      </c>
      <c r="G552" s="39">
        <v>12.699999809265137</v>
      </c>
      <c r="H552">
        <v>2.4890897274017334</v>
      </c>
    </row>
    <row r="553" spans="1:8" x14ac:dyDescent="0.25">
      <c r="A553" s="2">
        <v>542</v>
      </c>
      <c r="B553" s="2">
        <v>0.3</v>
      </c>
      <c r="C553" s="2">
        <v>0.1</v>
      </c>
      <c r="D553" s="2">
        <v>0.95</v>
      </c>
      <c r="E553" s="2">
        <v>1</v>
      </c>
      <c r="F553" s="2">
        <v>0.1</v>
      </c>
      <c r="G553" s="39">
        <v>15.899999618530273</v>
      </c>
      <c r="H553">
        <v>2.0116539001464844</v>
      </c>
    </row>
    <row r="554" spans="1:8" x14ac:dyDescent="0.25">
      <c r="A554" s="2">
        <v>543</v>
      </c>
      <c r="B554" s="2">
        <v>0.3</v>
      </c>
      <c r="C554" s="2">
        <v>0.1</v>
      </c>
      <c r="D554" s="2">
        <v>0.95</v>
      </c>
      <c r="E554" s="2">
        <v>1</v>
      </c>
      <c r="F554" s="2">
        <v>0.1</v>
      </c>
      <c r="G554" s="39">
        <v>25.399999618530273</v>
      </c>
      <c r="H554">
        <v>1.7757737636566162</v>
      </c>
    </row>
    <row r="555" spans="1:8" x14ac:dyDescent="0.25">
      <c r="A555" s="2">
        <v>544</v>
      </c>
      <c r="B555" s="2">
        <v>0.3</v>
      </c>
      <c r="C555" s="2">
        <v>0.1</v>
      </c>
      <c r="D555" s="2">
        <v>0.95</v>
      </c>
      <c r="E555" s="2">
        <v>1</v>
      </c>
      <c r="F555" s="2">
        <v>0.3</v>
      </c>
      <c r="G555" s="39">
        <v>12.699999809265137</v>
      </c>
      <c r="H555">
        <v>6.6881327629089355</v>
      </c>
    </row>
    <row r="556" spans="1:8" x14ac:dyDescent="0.25">
      <c r="A556" s="2">
        <v>545</v>
      </c>
      <c r="B556" s="2">
        <v>0.3</v>
      </c>
      <c r="C556" s="2">
        <v>0.1</v>
      </c>
      <c r="D556" s="2">
        <v>0.95</v>
      </c>
      <c r="E556" s="2">
        <v>1</v>
      </c>
      <c r="F556" s="2">
        <v>0.3</v>
      </c>
      <c r="G556" s="39">
        <v>15.899999618530273</v>
      </c>
      <c r="H556">
        <v>5.4052724838256836</v>
      </c>
    </row>
    <row r="557" spans="1:8" x14ac:dyDescent="0.25">
      <c r="A557" s="2">
        <v>546</v>
      </c>
      <c r="B557" s="2">
        <v>0.3</v>
      </c>
      <c r="C557" s="2">
        <v>0.1</v>
      </c>
      <c r="D557" s="2">
        <v>0.95</v>
      </c>
      <c r="E557" s="2">
        <v>1</v>
      </c>
      <c r="F557" s="2">
        <v>0.3</v>
      </c>
      <c r="G557" s="39">
        <v>25.399999618530273</v>
      </c>
      <c r="H557">
        <v>4.7714676856994629</v>
      </c>
    </row>
    <row r="558" spans="1:8" x14ac:dyDescent="0.25">
      <c r="A558" s="2">
        <v>547</v>
      </c>
      <c r="B558" s="2">
        <v>0.3</v>
      </c>
      <c r="C558" s="2">
        <v>0.1</v>
      </c>
      <c r="D558" s="2">
        <v>0.95</v>
      </c>
      <c r="E558" s="2">
        <v>1</v>
      </c>
      <c r="F558" s="2">
        <v>0.5</v>
      </c>
      <c r="G558" s="39">
        <v>12.699999809265137</v>
      </c>
      <c r="H558">
        <v>18.0087890625</v>
      </c>
    </row>
    <row r="559" spans="1:8" x14ac:dyDescent="0.25">
      <c r="A559" s="2">
        <v>548</v>
      </c>
      <c r="B559" s="2">
        <v>0.3</v>
      </c>
      <c r="C559" s="2">
        <v>0.1</v>
      </c>
      <c r="D559" s="2">
        <v>0.95</v>
      </c>
      <c r="E559" s="2">
        <v>1</v>
      </c>
      <c r="F559" s="2">
        <v>0.5</v>
      </c>
      <c r="G559" s="39">
        <v>15.899999618530273</v>
      </c>
      <c r="H559">
        <v>14.554498672485352</v>
      </c>
    </row>
    <row r="560" spans="1:8" x14ac:dyDescent="0.25">
      <c r="A560" s="2">
        <v>549</v>
      </c>
      <c r="B560" s="2">
        <v>0.3</v>
      </c>
      <c r="C560" s="2">
        <v>0.1</v>
      </c>
      <c r="D560" s="2">
        <v>0.95</v>
      </c>
      <c r="E560" s="2">
        <v>1</v>
      </c>
      <c r="F560" s="2">
        <v>0.5</v>
      </c>
      <c r="G560" s="39">
        <v>25.399999618530273</v>
      </c>
      <c r="H560">
        <v>12.847884178161621</v>
      </c>
    </row>
    <row r="561" spans="1:8" x14ac:dyDescent="0.25">
      <c r="A561" s="2">
        <v>550</v>
      </c>
      <c r="B561" s="2">
        <v>0.3</v>
      </c>
      <c r="C561" s="2">
        <v>0.1</v>
      </c>
      <c r="D561" s="2">
        <v>0.95</v>
      </c>
      <c r="E561" s="2">
        <v>5.5</v>
      </c>
      <c r="F561" s="2">
        <v>0.1</v>
      </c>
      <c r="G561" s="39">
        <v>12.699999809265137</v>
      </c>
      <c r="H561">
        <v>5.0181255340576172</v>
      </c>
    </row>
    <row r="562" spans="1:8" x14ac:dyDescent="0.25">
      <c r="A562" s="2">
        <v>551</v>
      </c>
      <c r="B562" s="2">
        <v>0.3</v>
      </c>
      <c r="C562" s="2">
        <v>0.1</v>
      </c>
      <c r="D562" s="2">
        <v>0.95</v>
      </c>
      <c r="E562" s="2">
        <v>5.5</v>
      </c>
      <c r="F562" s="2">
        <v>0.1</v>
      </c>
      <c r="G562" s="39">
        <v>15.899999618530273</v>
      </c>
      <c r="H562">
        <v>4.0555915832519531</v>
      </c>
    </row>
    <row r="563" spans="1:8" x14ac:dyDescent="0.25">
      <c r="A563" s="2">
        <v>552</v>
      </c>
      <c r="B563" s="2">
        <v>0.3</v>
      </c>
      <c r="C563" s="2">
        <v>0.1</v>
      </c>
      <c r="D563" s="2">
        <v>0.95</v>
      </c>
      <c r="E563" s="2">
        <v>5.5</v>
      </c>
      <c r="F563" s="2">
        <v>0.1</v>
      </c>
      <c r="G563" s="39">
        <v>25.399999618530273</v>
      </c>
      <c r="H563">
        <v>3.5800459384918213</v>
      </c>
    </row>
    <row r="564" spans="1:8" x14ac:dyDescent="0.25">
      <c r="A564" s="2">
        <v>553</v>
      </c>
      <c r="B564" s="2">
        <v>0.3</v>
      </c>
      <c r="C564" s="2">
        <v>0.1</v>
      </c>
      <c r="D564" s="2">
        <v>0.95</v>
      </c>
      <c r="E564" s="2">
        <v>5.5</v>
      </c>
      <c r="F564" s="2">
        <v>0.3</v>
      </c>
      <c r="G564" s="39">
        <v>12.699999809265137</v>
      </c>
      <c r="H564">
        <v>3.4955625534057617</v>
      </c>
    </row>
    <row r="565" spans="1:8" x14ac:dyDescent="0.25">
      <c r="A565" s="2">
        <v>554</v>
      </c>
      <c r="B565" s="2">
        <v>0.3</v>
      </c>
      <c r="C565" s="2">
        <v>0.1</v>
      </c>
      <c r="D565" s="2">
        <v>0.95</v>
      </c>
      <c r="E565" s="2">
        <v>5.5</v>
      </c>
      <c r="F565" s="2">
        <v>0.3</v>
      </c>
      <c r="G565" s="39">
        <v>15.899999618530273</v>
      </c>
      <c r="H565">
        <v>2.8250737190246582</v>
      </c>
    </row>
    <row r="566" spans="1:8" x14ac:dyDescent="0.25">
      <c r="A566" s="2">
        <v>555</v>
      </c>
      <c r="B566" s="2">
        <v>0.3</v>
      </c>
      <c r="C566" s="2">
        <v>0.1</v>
      </c>
      <c r="D566" s="2">
        <v>0.95</v>
      </c>
      <c r="E566" s="2">
        <v>5.5</v>
      </c>
      <c r="F566" s="2">
        <v>0.3</v>
      </c>
      <c r="G566" s="39">
        <v>25.399999618530273</v>
      </c>
      <c r="H566">
        <v>2.4938147068023682</v>
      </c>
    </row>
    <row r="567" spans="1:8" x14ac:dyDescent="0.25">
      <c r="A567" s="2">
        <v>556</v>
      </c>
      <c r="B567" s="2">
        <v>0.3</v>
      </c>
      <c r="C567" s="2">
        <v>0.1</v>
      </c>
      <c r="D567" s="2">
        <v>0.95</v>
      </c>
      <c r="E567" s="2">
        <v>5.5</v>
      </c>
      <c r="F567" s="2">
        <v>0.5</v>
      </c>
      <c r="G567" s="39">
        <v>12.699999809265137</v>
      </c>
      <c r="H567">
        <v>6.2450432777404785</v>
      </c>
    </row>
    <row r="568" spans="1:8" x14ac:dyDescent="0.25">
      <c r="A568" s="2">
        <v>557</v>
      </c>
      <c r="B568" s="2">
        <v>0.3</v>
      </c>
      <c r="C568" s="2">
        <v>0.1</v>
      </c>
      <c r="D568" s="2">
        <v>0.95</v>
      </c>
      <c r="E568" s="2">
        <v>5.5</v>
      </c>
      <c r="F568" s="2">
        <v>0.5</v>
      </c>
      <c r="G568" s="39">
        <v>15.899999618530273</v>
      </c>
      <c r="H568">
        <v>5.0471725463867187</v>
      </c>
    </row>
    <row r="569" spans="1:8" x14ac:dyDescent="0.25">
      <c r="A569" s="2">
        <v>558</v>
      </c>
      <c r="B569" s="2">
        <v>0.3</v>
      </c>
      <c r="C569" s="2">
        <v>0.1</v>
      </c>
      <c r="D569" s="2">
        <v>0.95</v>
      </c>
      <c r="E569" s="2">
        <v>5.5</v>
      </c>
      <c r="F569" s="2">
        <v>0.5</v>
      </c>
      <c r="G569" s="39">
        <v>25.399999618530273</v>
      </c>
      <c r="H569">
        <v>4.4553570747375488</v>
      </c>
    </row>
    <row r="570" spans="1:8" x14ac:dyDescent="0.25">
      <c r="A570" s="2">
        <v>559</v>
      </c>
      <c r="B570" s="2">
        <v>0.3</v>
      </c>
      <c r="C570" s="2">
        <v>0.1</v>
      </c>
      <c r="D570" s="2">
        <v>0.95</v>
      </c>
      <c r="E570" s="2">
        <v>10</v>
      </c>
      <c r="F570" s="2">
        <v>0.1</v>
      </c>
      <c r="G570" s="39">
        <v>12.699999809265137</v>
      </c>
      <c r="H570">
        <v>4.3138594627380371</v>
      </c>
    </row>
    <row r="571" spans="1:8" x14ac:dyDescent="0.25">
      <c r="A571" s="2">
        <v>560</v>
      </c>
      <c r="B571" s="2">
        <v>0.3</v>
      </c>
      <c r="C571" s="2">
        <v>0.1</v>
      </c>
      <c r="D571" s="2">
        <v>0.95</v>
      </c>
      <c r="E571" s="2">
        <v>10</v>
      </c>
      <c r="F571" s="2">
        <v>0.1</v>
      </c>
      <c r="G571" s="39">
        <v>15.899999618530273</v>
      </c>
      <c r="H571">
        <v>3.4864120483398437</v>
      </c>
    </row>
    <row r="572" spans="1:8" x14ac:dyDescent="0.25">
      <c r="A572" s="2">
        <v>561</v>
      </c>
      <c r="B572" s="2">
        <v>0.3</v>
      </c>
      <c r="C572" s="2">
        <v>0.1</v>
      </c>
      <c r="D572" s="2">
        <v>0.95</v>
      </c>
      <c r="E572" s="2">
        <v>10</v>
      </c>
      <c r="F572" s="2">
        <v>0.1</v>
      </c>
      <c r="G572" s="39">
        <v>25.399999618530273</v>
      </c>
      <c r="H572">
        <v>3.0776064395904541</v>
      </c>
    </row>
    <row r="573" spans="1:8" x14ac:dyDescent="0.25">
      <c r="A573" s="2">
        <v>562</v>
      </c>
      <c r="B573" s="2">
        <v>0.3</v>
      </c>
      <c r="C573" s="2">
        <v>0.1</v>
      </c>
      <c r="D573" s="2">
        <v>0.95</v>
      </c>
      <c r="E573" s="2">
        <v>10</v>
      </c>
      <c r="F573" s="2">
        <v>0.3</v>
      </c>
      <c r="G573" s="39">
        <v>12.699999809265137</v>
      </c>
      <c r="H573">
        <v>2.7760968208312988</v>
      </c>
    </row>
    <row r="574" spans="1:8" x14ac:dyDescent="0.25">
      <c r="A574" s="2">
        <v>563</v>
      </c>
      <c r="B574" s="2">
        <v>0.3</v>
      </c>
      <c r="C574" s="2">
        <v>0.1</v>
      </c>
      <c r="D574" s="2">
        <v>0.95</v>
      </c>
      <c r="E574" s="2">
        <v>10</v>
      </c>
      <c r="F574" s="2">
        <v>0.3</v>
      </c>
      <c r="G574" s="39">
        <v>15.899999618530273</v>
      </c>
      <c r="H574">
        <v>2.2436099052429199</v>
      </c>
    </row>
    <row r="575" spans="1:8" x14ac:dyDescent="0.25">
      <c r="A575" s="2">
        <v>564</v>
      </c>
      <c r="B575" s="2">
        <v>0.3</v>
      </c>
      <c r="C575" s="2">
        <v>0.1</v>
      </c>
      <c r="D575" s="2">
        <v>0.95</v>
      </c>
      <c r="E575" s="2">
        <v>10</v>
      </c>
      <c r="F575" s="2">
        <v>0.3</v>
      </c>
      <c r="G575" s="39">
        <v>25.399999618530273</v>
      </c>
      <c r="H575">
        <v>1.9805313348770142</v>
      </c>
    </row>
    <row r="576" spans="1:8" x14ac:dyDescent="0.25">
      <c r="A576" s="2">
        <v>565</v>
      </c>
      <c r="B576" s="2">
        <v>0.3</v>
      </c>
      <c r="C576" s="2">
        <v>0.1</v>
      </c>
      <c r="D576" s="2">
        <v>0.95</v>
      </c>
      <c r="E576" s="2">
        <v>10</v>
      </c>
      <c r="F576" s="2">
        <v>0.5</v>
      </c>
      <c r="G576" s="39">
        <v>12.699999809265137</v>
      </c>
      <c r="H576">
        <v>4.6797046661376953</v>
      </c>
    </row>
    <row r="577" spans="1:8" x14ac:dyDescent="0.25">
      <c r="A577" s="2">
        <v>566</v>
      </c>
      <c r="B577" s="2">
        <v>0.3</v>
      </c>
      <c r="C577" s="2">
        <v>0.1</v>
      </c>
      <c r="D577" s="2">
        <v>0.95</v>
      </c>
      <c r="E577" s="2">
        <v>10</v>
      </c>
      <c r="F577" s="2">
        <v>0.5</v>
      </c>
      <c r="G577" s="39">
        <v>15.899999618530273</v>
      </c>
      <c r="H577">
        <v>3.7820837497711182</v>
      </c>
    </row>
    <row r="578" spans="1:8" x14ac:dyDescent="0.25">
      <c r="A578" s="2">
        <v>567</v>
      </c>
      <c r="B578" s="2">
        <v>0.3</v>
      </c>
      <c r="C578" s="2">
        <v>0.1</v>
      </c>
      <c r="D578" s="2">
        <v>0.95</v>
      </c>
      <c r="E578" s="2">
        <v>10</v>
      </c>
      <c r="F578" s="2">
        <v>0.5</v>
      </c>
      <c r="G578" s="39">
        <v>25.399999618530273</v>
      </c>
      <c r="H578">
        <v>3.3386087417602539</v>
      </c>
    </row>
    <row r="579" spans="1:8" x14ac:dyDescent="0.25">
      <c r="A579" s="2">
        <v>568</v>
      </c>
      <c r="B579" s="2">
        <v>0.3</v>
      </c>
      <c r="C579" s="2">
        <v>0.3</v>
      </c>
      <c r="D579" s="2">
        <v>0.7</v>
      </c>
      <c r="E579" s="2">
        <v>1</v>
      </c>
      <c r="F579" s="2">
        <v>0.1</v>
      </c>
      <c r="G579" s="39">
        <v>12.699999809265137</v>
      </c>
      <c r="H579">
        <v>4.8393158912658691</v>
      </c>
    </row>
    <row r="580" spans="1:8" x14ac:dyDescent="0.25">
      <c r="A580" s="2">
        <v>569</v>
      </c>
      <c r="B580" s="2">
        <v>0.3</v>
      </c>
      <c r="C580" s="2">
        <v>0.3</v>
      </c>
      <c r="D580" s="2">
        <v>0.7</v>
      </c>
      <c r="E580" s="2">
        <v>1</v>
      </c>
      <c r="F580" s="2">
        <v>0.1</v>
      </c>
      <c r="G580" s="39">
        <v>15.899999618530273</v>
      </c>
      <c r="H580">
        <v>3.9110796451568604</v>
      </c>
    </row>
    <row r="581" spans="1:8" x14ac:dyDescent="0.25">
      <c r="A581" s="2">
        <v>570</v>
      </c>
      <c r="B581" s="2">
        <v>0.3</v>
      </c>
      <c r="C581" s="2">
        <v>0.3</v>
      </c>
      <c r="D581" s="2">
        <v>0.7</v>
      </c>
      <c r="E581" s="2">
        <v>1</v>
      </c>
      <c r="F581" s="2">
        <v>0.1</v>
      </c>
      <c r="G581" s="39">
        <v>25.399999618530273</v>
      </c>
      <c r="H581">
        <v>3.4524791240692139</v>
      </c>
    </row>
    <row r="582" spans="1:8" x14ac:dyDescent="0.25">
      <c r="A582" s="2">
        <v>571</v>
      </c>
      <c r="B582" s="2">
        <v>0.3</v>
      </c>
      <c r="C582" s="2">
        <v>0.3</v>
      </c>
      <c r="D582" s="2">
        <v>0.7</v>
      </c>
      <c r="E582" s="2">
        <v>1</v>
      </c>
      <c r="F582" s="2">
        <v>0.3</v>
      </c>
      <c r="G582" s="39">
        <v>12.699999809265137</v>
      </c>
      <c r="H582">
        <v>4.8721308708190918</v>
      </c>
    </row>
    <row r="583" spans="1:8" x14ac:dyDescent="0.25">
      <c r="A583" s="2">
        <v>572</v>
      </c>
      <c r="B583" s="2">
        <v>0.3</v>
      </c>
      <c r="C583" s="2">
        <v>0.3</v>
      </c>
      <c r="D583" s="2">
        <v>0.7</v>
      </c>
      <c r="E583" s="2">
        <v>1</v>
      </c>
      <c r="F583" s="2">
        <v>0.3</v>
      </c>
      <c r="G583" s="39">
        <v>15.899999618530273</v>
      </c>
      <c r="H583">
        <v>3.93760085105896</v>
      </c>
    </row>
    <row r="584" spans="1:8" x14ac:dyDescent="0.25">
      <c r="A584" s="2">
        <v>573</v>
      </c>
      <c r="B584" s="2">
        <v>0.3</v>
      </c>
      <c r="C584" s="2">
        <v>0.3</v>
      </c>
      <c r="D584" s="2">
        <v>0.7</v>
      </c>
      <c r="E584" s="2">
        <v>1</v>
      </c>
      <c r="F584" s="2">
        <v>0.3</v>
      </c>
      <c r="G584" s="39">
        <v>25.399999618530273</v>
      </c>
      <c r="H584">
        <v>3.4758903980255127</v>
      </c>
    </row>
    <row r="585" spans="1:8" x14ac:dyDescent="0.25">
      <c r="A585" s="2">
        <v>574</v>
      </c>
      <c r="B585" s="2">
        <v>0.3</v>
      </c>
      <c r="C585" s="2">
        <v>0.3</v>
      </c>
      <c r="D585" s="2">
        <v>0.7</v>
      </c>
      <c r="E585" s="2">
        <v>1</v>
      </c>
      <c r="F585" s="2">
        <v>0.5</v>
      </c>
      <c r="G585" s="39">
        <v>12.699999809265137</v>
      </c>
      <c r="H585">
        <v>10.540534973144531</v>
      </c>
    </row>
    <row r="586" spans="1:8" x14ac:dyDescent="0.25">
      <c r="A586" s="2">
        <v>575</v>
      </c>
      <c r="B586" s="2">
        <v>0.3</v>
      </c>
      <c r="C586" s="2">
        <v>0.3</v>
      </c>
      <c r="D586" s="2">
        <v>0.7</v>
      </c>
      <c r="E586" s="2">
        <v>1</v>
      </c>
      <c r="F586" s="2">
        <v>0.5</v>
      </c>
      <c r="G586" s="39">
        <v>15.899999618530273</v>
      </c>
      <c r="H586">
        <v>8.5187397003173828</v>
      </c>
    </row>
    <row r="587" spans="1:8" x14ac:dyDescent="0.25">
      <c r="A587" s="2">
        <v>576</v>
      </c>
      <c r="B587" s="2">
        <v>0.3</v>
      </c>
      <c r="C587" s="2">
        <v>0.3</v>
      </c>
      <c r="D587" s="2">
        <v>0.7</v>
      </c>
      <c r="E587" s="2">
        <v>1</v>
      </c>
      <c r="F587" s="2">
        <v>0.5</v>
      </c>
      <c r="G587" s="39">
        <v>25.399999618530273</v>
      </c>
      <c r="H587">
        <v>7.519859790802002</v>
      </c>
    </row>
    <row r="588" spans="1:8" x14ac:dyDescent="0.25">
      <c r="A588" s="2">
        <v>577</v>
      </c>
      <c r="B588" s="2">
        <v>0.3</v>
      </c>
      <c r="C588" s="2">
        <v>0.3</v>
      </c>
      <c r="D588" s="2">
        <v>0.7</v>
      </c>
      <c r="E588" s="2">
        <v>5.5</v>
      </c>
      <c r="F588" s="2">
        <v>0.1</v>
      </c>
      <c r="G588" s="39">
        <v>12.699999809265137</v>
      </c>
      <c r="H588">
        <v>1.917807936668396</v>
      </c>
    </row>
    <row r="589" spans="1:8" x14ac:dyDescent="0.25">
      <c r="A589" s="2">
        <v>578</v>
      </c>
      <c r="B589" s="2">
        <v>0.3</v>
      </c>
      <c r="C589" s="2">
        <v>0.3</v>
      </c>
      <c r="D589" s="2">
        <v>0.7</v>
      </c>
      <c r="E589" s="2">
        <v>5.5</v>
      </c>
      <c r="F589" s="2">
        <v>0.1</v>
      </c>
      <c r="G589" s="39">
        <v>15.899999618530273</v>
      </c>
      <c r="H589">
        <v>1.5499504804611206</v>
      </c>
    </row>
    <row r="590" spans="1:8" x14ac:dyDescent="0.25">
      <c r="A590" s="2">
        <v>579</v>
      </c>
      <c r="B590" s="2">
        <v>0.3</v>
      </c>
      <c r="C590" s="2">
        <v>0.3</v>
      </c>
      <c r="D590" s="2">
        <v>0.7</v>
      </c>
      <c r="E590" s="2">
        <v>5.5</v>
      </c>
      <c r="F590" s="2">
        <v>0.1</v>
      </c>
      <c r="G590" s="39">
        <v>25.399999618530273</v>
      </c>
      <c r="H590">
        <v>1.3682082891464233</v>
      </c>
    </row>
    <row r="591" spans="1:8" x14ac:dyDescent="0.25">
      <c r="A591" s="2">
        <v>580</v>
      </c>
      <c r="B591" s="2">
        <v>0.3</v>
      </c>
      <c r="C591" s="2">
        <v>0.3</v>
      </c>
      <c r="D591" s="2">
        <v>0.7</v>
      </c>
      <c r="E591" s="2">
        <v>5.5</v>
      </c>
      <c r="F591" s="2">
        <v>0.3</v>
      </c>
      <c r="G591" s="39">
        <v>12.699999809265137</v>
      </c>
      <c r="H591">
        <v>1.3501350879669189</v>
      </c>
    </row>
    <row r="592" spans="1:8" x14ac:dyDescent="0.25">
      <c r="A592" s="2">
        <v>581</v>
      </c>
      <c r="B592" s="2">
        <v>0.3</v>
      </c>
      <c r="C592" s="2">
        <v>0.3</v>
      </c>
      <c r="D592" s="2">
        <v>0.7</v>
      </c>
      <c r="E592" s="2">
        <v>5.5</v>
      </c>
      <c r="F592" s="2">
        <v>0.3</v>
      </c>
      <c r="G592" s="39">
        <v>15.899999618530273</v>
      </c>
      <c r="H592">
        <v>1.0911637544631958</v>
      </c>
    </row>
    <row r="593" spans="1:8" x14ac:dyDescent="0.25">
      <c r="A593" s="2">
        <v>582</v>
      </c>
      <c r="B593" s="2">
        <v>0.3</v>
      </c>
      <c r="C593" s="2">
        <v>0.3</v>
      </c>
      <c r="D593" s="2">
        <v>0.7</v>
      </c>
      <c r="E593" s="2">
        <v>5.5</v>
      </c>
      <c r="F593" s="2">
        <v>0.3</v>
      </c>
      <c r="G593" s="39">
        <v>25.399999618530273</v>
      </c>
      <c r="H593">
        <v>0.96321737766265869</v>
      </c>
    </row>
    <row r="594" spans="1:8" x14ac:dyDescent="0.25">
      <c r="A594" s="2">
        <v>583</v>
      </c>
      <c r="B594" s="2">
        <v>0.3</v>
      </c>
      <c r="C594" s="2">
        <v>0.3</v>
      </c>
      <c r="D594" s="2">
        <v>0.7</v>
      </c>
      <c r="E594" s="2">
        <v>5.5</v>
      </c>
      <c r="F594" s="2">
        <v>0.5</v>
      </c>
      <c r="G594" s="39">
        <v>12.699999809265137</v>
      </c>
      <c r="H594">
        <v>2.4294884204864502</v>
      </c>
    </row>
    <row r="595" spans="1:8" x14ac:dyDescent="0.25">
      <c r="A595" s="2">
        <v>584</v>
      </c>
      <c r="B595" s="2">
        <v>0.3</v>
      </c>
      <c r="C595" s="2">
        <v>0.3</v>
      </c>
      <c r="D595" s="2">
        <v>0.7</v>
      </c>
      <c r="E595" s="2">
        <v>5.5</v>
      </c>
      <c r="F595" s="2">
        <v>0.5</v>
      </c>
      <c r="G595" s="39">
        <v>15.899999618530273</v>
      </c>
      <c r="H595">
        <v>1.9634847640991211</v>
      </c>
    </row>
    <row r="596" spans="1:8" x14ac:dyDescent="0.25">
      <c r="A596" s="2">
        <v>585</v>
      </c>
      <c r="B596" s="2">
        <v>0.3</v>
      </c>
      <c r="C596" s="2">
        <v>0.3</v>
      </c>
      <c r="D596" s="2">
        <v>0.7</v>
      </c>
      <c r="E596" s="2">
        <v>5.5</v>
      </c>
      <c r="F596" s="2">
        <v>0.5</v>
      </c>
      <c r="G596" s="39">
        <v>25.399999618530273</v>
      </c>
      <c r="H596">
        <v>1.7332528829574585</v>
      </c>
    </row>
    <row r="597" spans="1:8" x14ac:dyDescent="0.25">
      <c r="A597" s="2">
        <v>586</v>
      </c>
      <c r="B597" s="2">
        <v>0.3</v>
      </c>
      <c r="C597" s="2">
        <v>0.3</v>
      </c>
      <c r="D597" s="2">
        <v>0.7</v>
      </c>
      <c r="E597" s="2">
        <v>10</v>
      </c>
      <c r="F597" s="2">
        <v>0.1</v>
      </c>
      <c r="G597" s="39">
        <v>12.699999809265137</v>
      </c>
      <c r="H597">
        <v>1.0626927614212036</v>
      </c>
    </row>
    <row r="598" spans="1:8" x14ac:dyDescent="0.25">
      <c r="A598" s="2">
        <v>587</v>
      </c>
      <c r="B598" s="2">
        <v>0.3</v>
      </c>
      <c r="C598" s="2">
        <v>0.3</v>
      </c>
      <c r="D598" s="2">
        <v>0.7</v>
      </c>
      <c r="E598" s="2">
        <v>10</v>
      </c>
      <c r="F598" s="2">
        <v>0.1</v>
      </c>
      <c r="G598" s="39">
        <v>15.899999618530273</v>
      </c>
      <c r="H598">
        <v>0.85885614156723022</v>
      </c>
    </row>
    <row r="599" spans="1:8" x14ac:dyDescent="0.25">
      <c r="A599" s="2">
        <v>588</v>
      </c>
      <c r="B599" s="2">
        <v>0.3</v>
      </c>
      <c r="C599" s="2">
        <v>0.3</v>
      </c>
      <c r="D599" s="2">
        <v>0.7</v>
      </c>
      <c r="E599" s="2">
        <v>10</v>
      </c>
      <c r="F599" s="2">
        <v>0.1</v>
      </c>
      <c r="G599" s="39">
        <v>25.399999618530273</v>
      </c>
      <c r="H599">
        <v>0.75814944505691528</v>
      </c>
    </row>
    <row r="600" spans="1:8" x14ac:dyDescent="0.25">
      <c r="A600" s="2">
        <v>589</v>
      </c>
      <c r="B600" s="2">
        <v>0.3</v>
      </c>
      <c r="C600" s="2">
        <v>0.3</v>
      </c>
      <c r="D600" s="2">
        <v>0.7</v>
      </c>
      <c r="E600" s="2">
        <v>10</v>
      </c>
      <c r="F600" s="2">
        <v>0.3</v>
      </c>
      <c r="G600" s="39">
        <v>12.699999809265137</v>
      </c>
      <c r="H600">
        <v>0.73643434047698975</v>
      </c>
    </row>
    <row r="601" spans="1:8" x14ac:dyDescent="0.25">
      <c r="A601" s="2">
        <v>590</v>
      </c>
      <c r="B601" s="2">
        <v>0.3</v>
      </c>
      <c r="C601" s="2">
        <v>0.3</v>
      </c>
      <c r="D601" s="2">
        <v>0.7</v>
      </c>
      <c r="E601" s="2">
        <v>10</v>
      </c>
      <c r="F601" s="2">
        <v>0.3</v>
      </c>
      <c r="G601" s="39">
        <v>15.899999618530273</v>
      </c>
      <c r="H601">
        <v>0.59517782926559448</v>
      </c>
    </row>
    <row r="602" spans="1:8" x14ac:dyDescent="0.25">
      <c r="A602" s="2">
        <v>591</v>
      </c>
      <c r="B602" s="2">
        <v>0.3</v>
      </c>
      <c r="C602" s="2">
        <v>0.3</v>
      </c>
      <c r="D602" s="2">
        <v>0.7</v>
      </c>
      <c r="E602" s="2">
        <v>10</v>
      </c>
      <c r="F602" s="2">
        <v>0.3</v>
      </c>
      <c r="G602" s="39">
        <v>25.399999618530273</v>
      </c>
      <c r="H602">
        <v>0.52538919448852539</v>
      </c>
    </row>
    <row r="603" spans="1:8" x14ac:dyDescent="0.25">
      <c r="A603" s="2">
        <v>592</v>
      </c>
      <c r="B603" s="2">
        <v>0.3</v>
      </c>
      <c r="C603" s="2">
        <v>0.3</v>
      </c>
      <c r="D603" s="2">
        <v>0.7</v>
      </c>
      <c r="E603" s="2">
        <v>10</v>
      </c>
      <c r="F603" s="2">
        <v>0.5</v>
      </c>
      <c r="G603" s="39">
        <v>12.699999809265137</v>
      </c>
      <c r="H603">
        <v>1.3110089302062988</v>
      </c>
    </row>
    <row r="604" spans="1:8" x14ac:dyDescent="0.25">
      <c r="A604" s="2">
        <v>593</v>
      </c>
      <c r="B604" s="2">
        <v>0.3</v>
      </c>
      <c r="C604" s="2">
        <v>0.3</v>
      </c>
      <c r="D604" s="2">
        <v>0.7</v>
      </c>
      <c r="E604" s="2">
        <v>10</v>
      </c>
      <c r="F604" s="2">
        <v>0.5</v>
      </c>
      <c r="G604" s="39">
        <v>15.899999618530273</v>
      </c>
      <c r="H604">
        <v>1.0595425367355347</v>
      </c>
    </row>
    <row r="605" spans="1:8" x14ac:dyDescent="0.25">
      <c r="A605" s="2">
        <v>594</v>
      </c>
      <c r="B605" s="2">
        <v>0.3</v>
      </c>
      <c r="C605" s="2">
        <v>0.3</v>
      </c>
      <c r="D605" s="2">
        <v>0.7</v>
      </c>
      <c r="E605" s="2">
        <v>10</v>
      </c>
      <c r="F605" s="2">
        <v>0.5</v>
      </c>
      <c r="G605" s="39">
        <v>25.399999618530273</v>
      </c>
      <c r="H605">
        <v>0.93530392646789551</v>
      </c>
    </row>
    <row r="606" spans="1:8" x14ac:dyDescent="0.25">
      <c r="A606" s="2">
        <v>595</v>
      </c>
      <c r="B606" s="2">
        <v>0.3</v>
      </c>
      <c r="C606" s="2">
        <v>0.3</v>
      </c>
      <c r="D606" s="2">
        <v>0.82499999999999996</v>
      </c>
      <c r="E606" s="2">
        <v>1</v>
      </c>
      <c r="F606" s="2">
        <v>0.1</v>
      </c>
      <c r="G606" s="39">
        <v>12.699999809265137</v>
      </c>
      <c r="H606">
        <v>3.3753674030303955</v>
      </c>
    </row>
    <row r="607" spans="1:8" x14ac:dyDescent="0.25">
      <c r="A607" s="2">
        <v>596</v>
      </c>
      <c r="B607" s="2">
        <v>0.3</v>
      </c>
      <c r="C607" s="2">
        <v>0.3</v>
      </c>
      <c r="D607" s="2">
        <v>0.82499999999999996</v>
      </c>
      <c r="E607" s="2">
        <v>1</v>
      </c>
      <c r="F607" s="2">
        <v>0.1</v>
      </c>
      <c r="G607" s="39">
        <v>15.899999618530273</v>
      </c>
      <c r="H607">
        <v>2.727933406829834</v>
      </c>
    </row>
    <row r="608" spans="1:8" x14ac:dyDescent="0.25">
      <c r="A608" s="2">
        <v>597</v>
      </c>
      <c r="B608" s="2">
        <v>0.3</v>
      </c>
      <c r="C608" s="2">
        <v>0.3</v>
      </c>
      <c r="D608" s="2">
        <v>0.82499999999999996</v>
      </c>
      <c r="E608" s="2">
        <v>1</v>
      </c>
      <c r="F608" s="2">
        <v>0.1</v>
      </c>
      <c r="G608" s="39">
        <v>25.399999618530273</v>
      </c>
      <c r="H608">
        <v>2.4080648422241211</v>
      </c>
    </row>
    <row r="609" spans="1:8" x14ac:dyDescent="0.25">
      <c r="A609" s="2">
        <v>598</v>
      </c>
      <c r="B609" s="2">
        <v>0.3</v>
      </c>
      <c r="C609" s="2">
        <v>0.3</v>
      </c>
      <c r="D609" s="2">
        <v>0.82499999999999996</v>
      </c>
      <c r="E609" s="2">
        <v>1</v>
      </c>
      <c r="F609" s="2">
        <v>0.3</v>
      </c>
      <c r="G609" s="39">
        <v>12.699999809265137</v>
      </c>
      <c r="H609">
        <v>3.3982558250427246</v>
      </c>
    </row>
    <row r="610" spans="1:8" x14ac:dyDescent="0.25">
      <c r="A610" s="2">
        <v>599</v>
      </c>
      <c r="B610" s="2">
        <v>0.3</v>
      </c>
      <c r="C610" s="2">
        <v>0.3</v>
      </c>
      <c r="D610" s="2">
        <v>0.82499999999999996</v>
      </c>
      <c r="E610" s="2">
        <v>1</v>
      </c>
      <c r="F610" s="2">
        <v>0.3</v>
      </c>
      <c r="G610" s="39">
        <v>15.899999618530273</v>
      </c>
      <c r="H610">
        <v>2.7464315891265869</v>
      </c>
    </row>
    <row r="611" spans="1:8" x14ac:dyDescent="0.25">
      <c r="A611" s="2">
        <v>600</v>
      </c>
      <c r="B611" s="2">
        <v>0.3</v>
      </c>
      <c r="C611" s="2">
        <v>0.3</v>
      </c>
      <c r="D611" s="2">
        <v>0.82499999999999996</v>
      </c>
      <c r="E611" s="2">
        <v>1</v>
      </c>
      <c r="F611" s="2">
        <v>0.3</v>
      </c>
      <c r="G611" s="39">
        <v>25.399999618530273</v>
      </c>
      <c r="H611">
        <v>2.424393892288208</v>
      </c>
    </row>
    <row r="612" spans="1:8" x14ac:dyDescent="0.25">
      <c r="A612" s="2">
        <v>601</v>
      </c>
      <c r="B612" s="2">
        <v>0.3</v>
      </c>
      <c r="C612" s="2">
        <v>0.3</v>
      </c>
      <c r="D612" s="2">
        <v>0.82499999999999996</v>
      </c>
      <c r="E612" s="2">
        <v>1</v>
      </c>
      <c r="F612" s="2">
        <v>0.5</v>
      </c>
      <c r="G612" s="39">
        <v>12.699999809265137</v>
      </c>
      <c r="H612">
        <v>7.3519024848937988</v>
      </c>
    </row>
    <row r="613" spans="1:8" x14ac:dyDescent="0.25">
      <c r="A613" s="2">
        <v>602</v>
      </c>
      <c r="B613" s="2">
        <v>0.3</v>
      </c>
      <c r="C613" s="2">
        <v>0.3</v>
      </c>
      <c r="D613" s="2">
        <v>0.82499999999999996</v>
      </c>
      <c r="E613" s="2">
        <v>1</v>
      </c>
      <c r="F613" s="2">
        <v>0.5</v>
      </c>
      <c r="G613" s="39">
        <v>15.899999618530273</v>
      </c>
      <c r="H613">
        <v>5.9417238235473633</v>
      </c>
    </row>
    <row r="614" spans="1:8" x14ac:dyDescent="0.25">
      <c r="A614" s="2">
        <v>603</v>
      </c>
      <c r="B614" s="2">
        <v>0.3</v>
      </c>
      <c r="C614" s="2">
        <v>0.3</v>
      </c>
      <c r="D614" s="2">
        <v>0.82499999999999996</v>
      </c>
      <c r="E614" s="2">
        <v>1</v>
      </c>
      <c r="F614" s="2">
        <v>0.5</v>
      </c>
      <c r="G614" s="39">
        <v>25.399999618530273</v>
      </c>
      <c r="H614">
        <v>5.2450160980224609</v>
      </c>
    </row>
    <row r="615" spans="1:8" x14ac:dyDescent="0.25">
      <c r="A615" s="2">
        <v>604</v>
      </c>
      <c r="B615" s="2">
        <v>0.3</v>
      </c>
      <c r="C615" s="2">
        <v>0.3</v>
      </c>
      <c r="D615" s="2">
        <v>0.82499999999999996</v>
      </c>
      <c r="E615" s="2">
        <v>5.5</v>
      </c>
      <c r="F615" s="2">
        <v>0.1</v>
      </c>
      <c r="G615" s="39">
        <v>12.699999809265137</v>
      </c>
      <c r="H615">
        <v>1.3376491069793701</v>
      </c>
    </row>
    <row r="616" spans="1:8" x14ac:dyDescent="0.25">
      <c r="A616" s="2">
        <v>605</v>
      </c>
      <c r="B616" s="2">
        <v>0.3</v>
      </c>
      <c r="C616" s="2">
        <v>0.3</v>
      </c>
      <c r="D616" s="2">
        <v>0.82499999999999996</v>
      </c>
      <c r="E616" s="2">
        <v>5.5</v>
      </c>
      <c r="F616" s="2">
        <v>0.1</v>
      </c>
      <c r="G616" s="39">
        <v>15.899999618530273</v>
      </c>
      <c r="H616">
        <v>1.0810728073120117</v>
      </c>
    </row>
    <row r="617" spans="1:8" x14ac:dyDescent="0.25">
      <c r="A617" s="2">
        <v>606</v>
      </c>
      <c r="B617" s="2">
        <v>0.3</v>
      </c>
      <c r="C617" s="2">
        <v>0.3</v>
      </c>
      <c r="D617" s="2">
        <v>0.82499999999999996</v>
      </c>
      <c r="E617" s="2">
        <v>5.5</v>
      </c>
      <c r="F617" s="2">
        <v>0.1</v>
      </c>
      <c r="G617" s="39">
        <v>25.399999618530273</v>
      </c>
      <c r="H617">
        <v>0.95430964231491089</v>
      </c>
    </row>
    <row r="618" spans="1:8" x14ac:dyDescent="0.25">
      <c r="A618" s="2">
        <v>607</v>
      </c>
      <c r="B618" s="2">
        <v>0.3</v>
      </c>
      <c r="C618" s="2">
        <v>0.3</v>
      </c>
      <c r="D618" s="2">
        <v>0.82499999999999996</v>
      </c>
      <c r="E618" s="2">
        <v>5.5</v>
      </c>
      <c r="F618" s="2">
        <v>0.3</v>
      </c>
      <c r="G618" s="39">
        <v>12.699999809265137</v>
      </c>
      <c r="H618">
        <v>0.94170379638671875</v>
      </c>
    </row>
    <row r="619" spans="1:8" x14ac:dyDescent="0.25">
      <c r="A619" s="2">
        <v>608</v>
      </c>
      <c r="B619" s="2">
        <v>0.3</v>
      </c>
      <c r="C619" s="2">
        <v>0.3</v>
      </c>
      <c r="D619" s="2">
        <v>0.82499999999999996</v>
      </c>
      <c r="E619" s="2">
        <v>5.5</v>
      </c>
      <c r="F619" s="2">
        <v>0.3</v>
      </c>
      <c r="G619" s="39">
        <v>15.899999618530273</v>
      </c>
      <c r="H619">
        <v>0.7610742449760437</v>
      </c>
    </row>
    <row r="620" spans="1:8" x14ac:dyDescent="0.25">
      <c r="A620" s="2">
        <v>609</v>
      </c>
      <c r="B620" s="2">
        <v>0.3</v>
      </c>
      <c r="C620" s="2">
        <v>0.3</v>
      </c>
      <c r="D620" s="2">
        <v>0.82499999999999996</v>
      </c>
      <c r="E620" s="2">
        <v>5.5</v>
      </c>
      <c r="F620" s="2">
        <v>0.3</v>
      </c>
      <c r="G620" s="39">
        <v>25.399999618530273</v>
      </c>
      <c r="H620">
        <v>0.6718330979347229</v>
      </c>
    </row>
    <row r="621" spans="1:8" x14ac:dyDescent="0.25">
      <c r="A621" s="2">
        <v>610</v>
      </c>
      <c r="B621" s="2">
        <v>0.3</v>
      </c>
      <c r="C621" s="2">
        <v>0.3</v>
      </c>
      <c r="D621" s="2">
        <v>0.82499999999999996</v>
      </c>
      <c r="E621" s="2">
        <v>5.5</v>
      </c>
      <c r="F621" s="2">
        <v>0.5</v>
      </c>
      <c r="G621" s="39">
        <v>12.699999809265137</v>
      </c>
      <c r="H621">
        <v>1.6945403814315796</v>
      </c>
    </row>
    <row r="622" spans="1:8" x14ac:dyDescent="0.25">
      <c r="A622" s="2">
        <v>611</v>
      </c>
      <c r="B622" s="2">
        <v>0.3</v>
      </c>
      <c r="C622" s="2">
        <v>0.3</v>
      </c>
      <c r="D622" s="2">
        <v>0.82499999999999996</v>
      </c>
      <c r="E622" s="2">
        <v>5.5</v>
      </c>
      <c r="F622" s="2">
        <v>0.5</v>
      </c>
      <c r="G622" s="39">
        <v>15.899999618530273</v>
      </c>
      <c r="H622">
        <v>1.3695082664489746</v>
      </c>
    </row>
    <row r="623" spans="1:8" x14ac:dyDescent="0.25">
      <c r="A623" s="2">
        <v>612</v>
      </c>
      <c r="B623" s="2">
        <v>0.3</v>
      </c>
      <c r="C623" s="2">
        <v>0.3</v>
      </c>
      <c r="D623" s="2">
        <v>0.82499999999999996</v>
      </c>
      <c r="E623" s="2">
        <v>5.5</v>
      </c>
      <c r="F623" s="2">
        <v>0.5</v>
      </c>
      <c r="G623" s="39">
        <v>25.399999618530273</v>
      </c>
      <c r="H623">
        <v>1.2089240550994873</v>
      </c>
    </row>
    <row r="624" spans="1:8" x14ac:dyDescent="0.25">
      <c r="A624" s="2">
        <v>613</v>
      </c>
      <c r="B624" s="2">
        <v>0.3</v>
      </c>
      <c r="C624" s="2">
        <v>0.3</v>
      </c>
      <c r="D624" s="2">
        <v>0.82499999999999996</v>
      </c>
      <c r="E624" s="2">
        <v>10</v>
      </c>
      <c r="F624" s="2">
        <v>0.1</v>
      </c>
      <c r="G624" s="39">
        <v>12.699999809265137</v>
      </c>
      <c r="H624">
        <v>0.74121606349945068</v>
      </c>
    </row>
    <row r="625" spans="1:8" x14ac:dyDescent="0.25">
      <c r="A625" s="2">
        <v>614</v>
      </c>
      <c r="B625" s="2">
        <v>0.3</v>
      </c>
      <c r="C625" s="2">
        <v>0.3</v>
      </c>
      <c r="D625" s="2">
        <v>0.82499999999999996</v>
      </c>
      <c r="E625" s="2">
        <v>10</v>
      </c>
      <c r="F625" s="2">
        <v>0.1</v>
      </c>
      <c r="G625" s="39">
        <v>15.899999618530273</v>
      </c>
      <c r="H625">
        <v>0.59904235601425171</v>
      </c>
    </row>
    <row r="626" spans="1:8" x14ac:dyDescent="0.25">
      <c r="A626" s="2">
        <v>615</v>
      </c>
      <c r="B626" s="2">
        <v>0.3</v>
      </c>
      <c r="C626" s="2">
        <v>0.3</v>
      </c>
      <c r="D626" s="2">
        <v>0.82499999999999996</v>
      </c>
      <c r="E626" s="2">
        <v>10</v>
      </c>
      <c r="F626" s="2">
        <v>0.1</v>
      </c>
      <c r="G626" s="39">
        <v>25.399999618530273</v>
      </c>
      <c r="H626">
        <v>0.52880054712295532</v>
      </c>
    </row>
    <row r="627" spans="1:8" x14ac:dyDescent="0.25">
      <c r="A627" s="2">
        <v>616</v>
      </c>
      <c r="B627" s="2">
        <v>0.3</v>
      </c>
      <c r="C627" s="2">
        <v>0.3</v>
      </c>
      <c r="D627" s="2">
        <v>0.82499999999999996</v>
      </c>
      <c r="E627" s="2">
        <v>10</v>
      </c>
      <c r="F627" s="2">
        <v>0.3</v>
      </c>
      <c r="G627" s="39">
        <v>12.699999809265137</v>
      </c>
      <c r="H627">
        <v>0.51365453004837036</v>
      </c>
    </row>
    <row r="628" spans="1:8" x14ac:dyDescent="0.25">
      <c r="A628" s="2">
        <v>617</v>
      </c>
      <c r="B628" s="2">
        <v>0.3</v>
      </c>
      <c r="C628" s="2">
        <v>0.3</v>
      </c>
      <c r="D628" s="2">
        <v>0.82499999999999996</v>
      </c>
      <c r="E628" s="2">
        <v>10</v>
      </c>
      <c r="F628" s="2">
        <v>0.3</v>
      </c>
      <c r="G628" s="39">
        <v>15.899999618530273</v>
      </c>
      <c r="H628">
        <v>0.41512975096702576</v>
      </c>
    </row>
    <row r="629" spans="1:8" x14ac:dyDescent="0.25">
      <c r="A629" s="2">
        <v>618</v>
      </c>
      <c r="B629" s="2">
        <v>0.3</v>
      </c>
      <c r="C629" s="2">
        <v>0.3</v>
      </c>
      <c r="D629" s="2">
        <v>0.82499999999999996</v>
      </c>
      <c r="E629" s="2">
        <v>10</v>
      </c>
      <c r="F629" s="2">
        <v>0.3</v>
      </c>
      <c r="G629" s="39">
        <v>25.399999618530273</v>
      </c>
      <c r="H629">
        <v>0.36645296216011047</v>
      </c>
    </row>
    <row r="630" spans="1:8" x14ac:dyDescent="0.25">
      <c r="A630" s="2">
        <v>619</v>
      </c>
      <c r="B630" s="2">
        <v>0.3</v>
      </c>
      <c r="C630" s="2">
        <v>0.3</v>
      </c>
      <c r="D630" s="2">
        <v>0.82499999999999996</v>
      </c>
      <c r="E630" s="2">
        <v>10</v>
      </c>
      <c r="F630" s="2">
        <v>0.5</v>
      </c>
      <c r="G630" s="39">
        <v>12.699999809265137</v>
      </c>
      <c r="H630">
        <v>0.91441380977630615</v>
      </c>
    </row>
    <row r="631" spans="1:8" x14ac:dyDescent="0.25">
      <c r="A631" s="2">
        <v>620</v>
      </c>
      <c r="B631" s="2">
        <v>0.3</v>
      </c>
      <c r="C631" s="2">
        <v>0.3</v>
      </c>
      <c r="D631" s="2">
        <v>0.82499999999999996</v>
      </c>
      <c r="E631" s="2">
        <v>10</v>
      </c>
      <c r="F631" s="2">
        <v>0.5</v>
      </c>
      <c r="G631" s="39">
        <v>15.899999618530273</v>
      </c>
      <c r="H631">
        <v>0.73901879787445068</v>
      </c>
    </row>
    <row r="632" spans="1:8" x14ac:dyDescent="0.25">
      <c r="A632" s="2">
        <v>621</v>
      </c>
      <c r="B632" s="2">
        <v>0.3</v>
      </c>
      <c r="C632" s="2">
        <v>0.3</v>
      </c>
      <c r="D632" s="2">
        <v>0.82499999999999996</v>
      </c>
      <c r="E632" s="2">
        <v>10</v>
      </c>
      <c r="F632" s="2">
        <v>0.5</v>
      </c>
      <c r="G632" s="39">
        <v>25.399999618530273</v>
      </c>
      <c r="H632">
        <v>0.65236383676528931</v>
      </c>
    </row>
    <row r="633" spans="1:8" x14ac:dyDescent="0.25">
      <c r="A633" s="2">
        <v>622</v>
      </c>
      <c r="B633" s="2">
        <v>0.3</v>
      </c>
      <c r="C633" s="2">
        <v>0.3</v>
      </c>
      <c r="D633" s="2">
        <v>0.95</v>
      </c>
      <c r="E633" s="2">
        <v>1</v>
      </c>
      <c r="F633" s="2">
        <v>0.1</v>
      </c>
      <c r="G633" s="39">
        <v>12.699999809265137</v>
      </c>
      <c r="H633">
        <v>1.9114192724227905</v>
      </c>
    </row>
    <row r="634" spans="1:8" x14ac:dyDescent="0.25">
      <c r="A634" s="2">
        <v>623</v>
      </c>
      <c r="B634" s="2">
        <v>0.3</v>
      </c>
      <c r="C634" s="2">
        <v>0.3</v>
      </c>
      <c r="D634" s="2">
        <v>0.95</v>
      </c>
      <c r="E634" s="2">
        <v>1</v>
      </c>
      <c r="F634" s="2">
        <v>0.1</v>
      </c>
      <c r="G634" s="39">
        <v>15.899999618530273</v>
      </c>
      <c r="H634">
        <v>1.5447871685028076</v>
      </c>
    </row>
    <row r="635" spans="1:8" x14ac:dyDescent="0.25">
      <c r="A635" s="2">
        <v>624</v>
      </c>
      <c r="B635" s="2">
        <v>0.3</v>
      </c>
      <c r="C635" s="2">
        <v>0.3</v>
      </c>
      <c r="D635" s="2">
        <v>0.95</v>
      </c>
      <c r="E635" s="2">
        <v>1</v>
      </c>
      <c r="F635" s="2">
        <v>0.1</v>
      </c>
      <c r="G635" s="39">
        <v>25.399999618530273</v>
      </c>
      <c r="H635">
        <v>1.3636504411697388</v>
      </c>
    </row>
    <row r="636" spans="1:8" x14ac:dyDescent="0.25">
      <c r="A636" s="2">
        <v>625</v>
      </c>
      <c r="B636" s="2">
        <v>0.3</v>
      </c>
      <c r="C636" s="2">
        <v>0.3</v>
      </c>
      <c r="D636" s="2">
        <v>0.95</v>
      </c>
      <c r="E636" s="2">
        <v>1</v>
      </c>
      <c r="F636" s="2">
        <v>0.3</v>
      </c>
      <c r="G636" s="39">
        <v>12.699999809265137</v>
      </c>
      <c r="H636">
        <v>1.9243805408477783</v>
      </c>
    </row>
    <row r="637" spans="1:8" x14ac:dyDescent="0.25">
      <c r="A637" s="2">
        <v>626</v>
      </c>
      <c r="B637" s="2">
        <v>0.3</v>
      </c>
      <c r="C637" s="2">
        <v>0.3</v>
      </c>
      <c r="D637" s="2">
        <v>0.95</v>
      </c>
      <c r="E637" s="2">
        <v>1</v>
      </c>
      <c r="F637" s="2">
        <v>0.3</v>
      </c>
      <c r="G637" s="39">
        <v>15.899999618530273</v>
      </c>
      <c r="H637">
        <v>1.5552624464035034</v>
      </c>
    </row>
    <row r="638" spans="1:8" x14ac:dyDescent="0.25">
      <c r="A638" s="2">
        <v>627</v>
      </c>
      <c r="B638" s="2">
        <v>0.3</v>
      </c>
      <c r="C638" s="2">
        <v>0.3</v>
      </c>
      <c r="D638" s="2">
        <v>0.95</v>
      </c>
      <c r="E638" s="2">
        <v>1</v>
      </c>
      <c r="F638" s="2">
        <v>0.3</v>
      </c>
      <c r="G638" s="39">
        <v>25.399999618530273</v>
      </c>
      <c r="H638">
        <v>1.3728972673416138</v>
      </c>
    </row>
    <row r="639" spans="1:8" x14ac:dyDescent="0.25">
      <c r="A639" s="2">
        <v>628</v>
      </c>
      <c r="B639" s="2">
        <v>0.3</v>
      </c>
      <c r="C639" s="2">
        <v>0.3</v>
      </c>
      <c r="D639" s="2">
        <v>0.95</v>
      </c>
      <c r="E639" s="2">
        <v>1</v>
      </c>
      <c r="F639" s="2">
        <v>0.5</v>
      </c>
      <c r="G639" s="39">
        <v>12.699999809265137</v>
      </c>
      <c r="H639">
        <v>4.1632704734802246</v>
      </c>
    </row>
    <row r="640" spans="1:8" x14ac:dyDescent="0.25">
      <c r="A640" s="2">
        <v>629</v>
      </c>
      <c r="B640" s="2">
        <v>0.3</v>
      </c>
      <c r="C640" s="2">
        <v>0.3</v>
      </c>
      <c r="D640" s="2">
        <v>0.95</v>
      </c>
      <c r="E640" s="2">
        <v>1</v>
      </c>
      <c r="F640" s="2">
        <v>0.5</v>
      </c>
      <c r="G640" s="39">
        <v>15.899999618530273</v>
      </c>
      <c r="H640">
        <v>3.3647077083587646</v>
      </c>
    </row>
    <row r="641" spans="1:8" x14ac:dyDescent="0.25">
      <c r="A641" s="2">
        <v>630</v>
      </c>
      <c r="B641" s="2">
        <v>0.3</v>
      </c>
      <c r="C641" s="2">
        <v>0.3</v>
      </c>
      <c r="D641" s="2">
        <v>0.95</v>
      </c>
      <c r="E641" s="2">
        <v>1</v>
      </c>
      <c r="F641" s="2">
        <v>0.5</v>
      </c>
      <c r="G641" s="39">
        <v>25.399999618530273</v>
      </c>
      <c r="H641">
        <v>2.9701728820800781</v>
      </c>
    </row>
    <row r="642" spans="1:8" x14ac:dyDescent="0.25">
      <c r="A642" s="2">
        <v>631</v>
      </c>
      <c r="B642" s="2">
        <v>0.3</v>
      </c>
      <c r="C642" s="2">
        <v>0.3</v>
      </c>
      <c r="D642" s="2">
        <v>0.95</v>
      </c>
      <c r="E642" s="2">
        <v>5.5</v>
      </c>
      <c r="F642" s="2">
        <v>0.1</v>
      </c>
      <c r="G642" s="39">
        <v>12.699999809265137</v>
      </c>
      <c r="H642">
        <v>0.75749033689498901</v>
      </c>
    </row>
    <row r="643" spans="1:8" x14ac:dyDescent="0.25">
      <c r="A643" s="2">
        <v>632</v>
      </c>
      <c r="B643" s="2">
        <v>0.3</v>
      </c>
      <c r="C643" s="2">
        <v>0.3</v>
      </c>
      <c r="D643" s="2">
        <v>0.95</v>
      </c>
      <c r="E643" s="2">
        <v>5.5</v>
      </c>
      <c r="F643" s="2">
        <v>0.1</v>
      </c>
      <c r="G643" s="39">
        <v>15.899999618530273</v>
      </c>
      <c r="H643">
        <v>0.61219507455825806</v>
      </c>
    </row>
    <row r="644" spans="1:8" x14ac:dyDescent="0.25">
      <c r="A644" s="2">
        <v>633</v>
      </c>
      <c r="B644" s="2">
        <v>0.3</v>
      </c>
      <c r="C644" s="2">
        <v>0.3</v>
      </c>
      <c r="D644" s="2">
        <v>0.95</v>
      </c>
      <c r="E644" s="2">
        <v>5.5</v>
      </c>
      <c r="F644" s="2">
        <v>0.1</v>
      </c>
      <c r="G644" s="39">
        <v>25.399999618530273</v>
      </c>
      <c r="H644">
        <v>0.54041105508804321</v>
      </c>
    </row>
    <row r="645" spans="1:8" x14ac:dyDescent="0.25">
      <c r="A645" s="2">
        <v>634</v>
      </c>
      <c r="B645" s="2">
        <v>0.3</v>
      </c>
      <c r="C645" s="2">
        <v>0.3</v>
      </c>
      <c r="D645" s="2">
        <v>0.95</v>
      </c>
      <c r="E645" s="2">
        <v>5.5</v>
      </c>
      <c r="F645" s="2">
        <v>0.3</v>
      </c>
      <c r="G645" s="39">
        <v>12.699999809265137</v>
      </c>
      <c r="H645">
        <v>0.53327250480651855</v>
      </c>
    </row>
    <row r="646" spans="1:8" x14ac:dyDescent="0.25">
      <c r="A646" s="2">
        <v>635</v>
      </c>
      <c r="B646" s="2">
        <v>0.3</v>
      </c>
      <c r="C646" s="2">
        <v>0.3</v>
      </c>
      <c r="D646" s="2">
        <v>0.95</v>
      </c>
      <c r="E646" s="2">
        <v>5.5</v>
      </c>
      <c r="F646" s="2">
        <v>0.3</v>
      </c>
      <c r="G646" s="39">
        <v>15.899999618530273</v>
      </c>
      <c r="H646">
        <v>0.43098476529121399</v>
      </c>
    </row>
    <row r="647" spans="1:8" x14ac:dyDescent="0.25">
      <c r="A647" s="2">
        <v>636</v>
      </c>
      <c r="B647" s="2">
        <v>0.3</v>
      </c>
      <c r="C647" s="2">
        <v>0.3</v>
      </c>
      <c r="D647" s="2">
        <v>0.95</v>
      </c>
      <c r="E647" s="2">
        <v>5.5</v>
      </c>
      <c r="F647" s="2">
        <v>0.3</v>
      </c>
      <c r="G647" s="39">
        <v>25.399999618530273</v>
      </c>
      <c r="H647">
        <v>0.38044887781143188</v>
      </c>
    </row>
    <row r="648" spans="1:8" x14ac:dyDescent="0.25">
      <c r="A648" s="2">
        <v>637</v>
      </c>
      <c r="B648" s="2">
        <v>0.3</v>
      </c>
      <c r="C648" s="2">
        <v>0.3</v>
      </c>
      <c r="D648" s="2">
        <v>0.95</v>
      </c>
      <c r="E648" s="2">
        <v>5.5</v>
      </c>
      <c r="F648" s="2">
        <v>0.5</v>
      </c>
      <c r="G648" s="39">
        <v>12.699999809265137</v>
      </c>
      <c r="H648">
        <v>0.95959246158599854</v>
      </c>
    </row>
    <row r="649" spans="1:8" x14ac:dyDescent="0.25">
      <c r="A649" s="2">
        <v>638</v>
      </c>
      <c r="B649" s="2">
        <v>0.3</v>
      </c>
      <c r="C649" s="2">
        <v>0.3</v>
      </c>
      <c r="D649" s="2">
        <v>0.95</v>
      </c>
      <c r="E649" s="2">
        <v>5.5</v>
      </c>
      <c r="F649" s="2">
        <v>0.5</v>
      </c>
      <c r="G649" s="39">
        <v>15.899999618530273</v>
      </c>
      <c r="H649">
        <v>0.77553164958953857</v>
      </c>
    </row>
    <row r="650" spans="1:8" x14ac:dyDescent="0.25">
      <c r="A650" s="2">
        <v>639</v>
      </c>
      <c r="B650" s="2">
        <v>0.3</v>
      </c>
      <c r="C650" s="2">
        <v>0.3</v>
      </c>
      <c r="D650" s="2">
        <v>0.95</v>
      </c>
      <c r="E650" s="2">
        <v>5.5</v>
      </c>
      <c r="F650" s="2">
        <v>0.5</v>
      </c>
      <c r="G650" s="39">
        <v>25.399999618530273</v>
      </c>
      <c r="H650">
        <v>0.68459528684616089</v>
      </c>
    </row>
    <row r="651" spans="1:8" x14ac:dyDescent="0.25">
      <c r="A651" s="2">
        <v>640</v>
      </c>
      <c r="B651" s="2">
        <v>0.3</v>
      </c>
      <c r="C651" s="2">
        <v>0.3</v>
      </c>
      <c r="D651" s="2">
        <v>0.95</v>
      </c>
      <c r="E651" s="2">
        <v>10</v>
      </c>
      <c r="F651" s="2">
        <v>0.1</v>
      </c>
      <c r="G651" s="39">
        <v>12.699999809265137</v>
      </c>
      <c r="H651">
        <v>0.41973936557769775</v>
      </c>
    </row>
    <row r="652" spans="1:8" x14ac:dyDescent="0.25">
      <c r="A652" s="2">
        <v>641</v>
      </c>
      <c r="B652" s="2">
        <v>0.3</v>
      </c>
      <c r="C652" s="2">
        <v>0.3</v>
      </c>
      <c r="D652" s="2">
        <v>0.95</v>
      </c>
      <c r="E652" s="2">
        <v>10</v>
      </c>
      <c r="F652" s="2">
        <v>0.1</v>
      </c>
      <c r="G652" s="39">
        <v>15.899999618530273</v>
      </c>
      <c r="H652">
        <v>0.33922857046127319</v>
      </c>
    </row>
    <row r="653" spans="1:8" x14ac:dyDescent="0.25">
      <c r="A653" s="2">
        <v>642</v>
      </c>
      <c r="B653" s="2">
        <v>0.3</v>
      </c>
      <c r="C653" s="2">
        <v>0.3</v>
      </c>
      <c r="D653" s="2">
        <v>0.95</v>
      </c>
      <c r="E653" s="2">
        <v>10</v>
      </c>
      <c r="F653" s="2">
        <v>0.1</v>
      </c>
      <c r="G653" s="39">
        <v>25.399999618530273</v>
      </c>
      <c r="H653">
        <v>0.29945170879364014</v>
      </c>
    </row>
    <row r="654" spans="1:8" x14ac:dyDescent="0.25">
      <c r="A654" s="2">
        <v>643</v>
      </c>
      <c r="B654" s="2">
        <v>0.3</v>
      </c>
      <c r="C654" s="2">
        <v>0.3</v>
      </c>
      <c r="D654" s="2">
        <v>0.95</v>
      </c>
      <c r="E654" s="2">
        <v>10</v>
      </c>
      <c r="F654" s="2">
        <v>0.3</v>
      </c>
      <c r="G654" s="39">
        <v>12.699999809265137</v>
      </c>
      <c r="H654">
        <v>0.29087474942207336</v>
      </c>
    </row>
    <row r="655" spans="1:8" x14ac:dyDescent="0.25">
      <c r="A655" s="2">
        <v>644</v>
      </c>
      <c r="B655" s="2">
        <v>0.3</v>
      </c>
      <c r="C655" s="2">
        <v>0.3</v>
      </c>
      <c r="D655" s="2">
        <v>0.95</v>
      </c>
      <c r="E655" s="2">
        <v>10</v>
      </c>
      <c r="F655" s="2">
        <v>0.3</v>
      </c>
      <c r="G655" s="39">
        <v>15.899999618530273</v>
      </c>
      <c r="H655">
        <v>0.23508165776729584</v>
      </c>
    </row>
    <row r="656" spans="1:8" x14ac:dyDescent="0.25">
      <c r="A656" s="2">
        <v>645</v>
      </c>
      <c r="B656" s="2">
        <v>0.3</v>
      </c>
      <c r="C656" s="2">
        <v>0.3</v>
      </c>
      <c r="D656" s="2">
        <v>0.95</v>
      </c>
      <c r="E656" s="2">
        <v>10</v>
      </c>
      <c r="F656" s="2">
        <v>0.3</v>
      </c>
      <c r="G656" s="39">
        <v>25.399999618530273</v>
      </c>
      <c r="H656">
        <v>0.20751672983169556</v>
      </c>
    </row>
    <row r="657" spans="1:8" x14ac:dyDescent="0.25">
      <c r="A657" s="2">
        <v>646</v>
      </c>
      <c r="B657" s="2">
        <v>0.3</v>
      </c>
      <c r="C657" s="2">
        <v>0.3</v>
      </c>
      <c r="D657" s="2">
        <v>0.95</v>
      </c>
      <c r="E657" s="2">
        <v>10</v>
      </c>
      <c r="F657" s="2">
        <v>0.5</v>
      </c>
      <c r="G657" s="39">
        <v>12.699999809265137</v>
      </c>
      <c r="H657">
        <v>0.5178186297416687</v>
      </c>
    </row>
    <row r="658" spans="1:8" x14ac:dyDescent="0.25">
      <c r="A658" s="2">
        <v>647</v>
      </c>
      <c r="B658" s="2">
        <v>0.3</v>
      </c>
      <c r="C658" s="2">
        <v>0.3</v>
      </c>
      <c r="D658" s="2">
        <v>0.95</v>
      </c>
      <c r="E658" s="2">
        <v>10</v>
      </c>
      <c r="F658" s="2">
        <v>0.5</v>
      </c>
      <c r="G658" s="39">
        <v>15.899999618530273</v>
      </c>
      <c r="H658">
        <v>0.41849508881568909</v>
      </c>
    </row>
    <row r="659" spans="1:8" x14ac:dyDescent="0.25">
      <c r="A659" s="2">
        <v>648</v>
      </c>
      <c r="B659" s="2">
        <v>0.3</v>
      </c>
      <c r="C659" s="2">
        <v>0.3</v>
      </c>
      <c r="D659" s="2">
        <v>0.95</v>
      </c>
      <c r="E659" s="2">
        <v>10</v>
      </c>
      <c r="F659" s="2">
        <v>0.5</v>
      </c>
      <c r="G659" s="39">
        <v>25.399999618530273</v>
      </c>
      <c r="H659">
        <v>0.36942368745803833</v>
      </c>
    </row>
    <row r="660" spans="1:8" x14ac:dyDescent="0.25">
      <c r="A660" s="2">
        <v>649</v>
      </c>
      <c r="B660" s="2">
        <v>0.3</v>
      </c>
      <c r="C660" s="2">
        <v>0.5</v>
      </c>
      <c r="D660" s="2">
        <v>0.7</v>
      </c>
      <c r="E660" s="2">
        <v>1</v>
      </c>
      <c r="F660" s="2">
        <v>0.1</v>
      </c>
      <c r="G660" s="39">
        <v>12.699999809265137</v>
      </c>
      <c r="H660">
        <v>5.2671685218811035</v>
      </c>
    </row>
    <row r="661" spans="1:8" x14ac:dyDescent="0.25">
      <c r="A661" s="2">
        <v>650</v>
      </c>
      <c r="B661" s="2">
        <v>0.3</v>
      </c>
      <c r="C661" s="2">
        <v>0.5</v>
      </c>
      <c r="D661" s="2">
        <v>0.7</v>
      </c>
      <c r="E661" s="2">
        <v>1</v>
      </c>
      <c r="F661" s="2">
        <v>0.1</v>
      </c>
      <c r="G661" s="39">
        <v>15.899999618530273</v>
      </c>
      <c r="H661">
        <v>4.2568655014038086</v>
      </c>
    </row>
    <row r="662" spans="1:8" x14ac:dyDescent="0.25">
      <c r="A662" s="2">
        <v>651</v>
      </c>
      <c r="B662" s="2">
        <v>0.3</v>
      </c>
      <c r="C662" s="2">
        <v>0.5</v>
      </c>
      <c r="D662" s="2">
        <v>0.7</v>
      </c>
      <c r="E662" s="2">
        <v>1</v>
      </c>
      <c r="F662" s="2">
        <v>0.1</v>
      </c>
      <c r="G662" s="39">
        <v>25.399999618530273</v>
      </c>
      <c r="H662">
        <v>3.7577190399169922</v>
      </c>
    </row>
    <row r="663" spans="1:8" x14ac:dyDescent="0.25">
      <c r="A663" s="2">
        <v>652</v>
      </c>
      <c r="B663" s="2">
        <v>0.3</v>
      </c>
      <c r="C663" s="2">
        <v>0.5</v>
      </c>
      <c r="D663" s="2">
        <v>0.7</v>
      </c>
      <c r="E663" s="2">
        <v>1</v>
      </c>
      <c r="F663" s="2">
        <v>0.3</v>
      </c>
      <c r="G663" s="39">
        <v>12.699999809265137</v>
      </c>
      <c r="H663">
        <v>4.2770700454711914</v>
      </c>
    </row>
    <row r="664" spans="1:8" x14ac:dyDescent="0.25">
      <c r="A664" s="2">
        <v>653</v>
      </c>
      <c r="B664" s="2">
        <v>0.3</v>
      </c>
      <c r="C664" s="2">
        <v>0.5</v>
      </c>
      <c r="D664" s="2">
        <v>0.7</v>
      </c>
      <c r="E664" s="2">
        <v>1</v>
      </c>
      <c r="F664" s="2">
        <v>0.3</v>
      </c>
      <c r="G664" s="39">
        <v>15.899999618530273</v>
      </c>
      <c r="H664">
        <v>3.456679105758667</v>
      </c>
    </row>
    <row r="665" spans="1:8" x14ac:dyDescent="0.25">
      <c r="A665" s="2">
        <v>654</v>
      </c>
      <c r="B665" s="2">
        <v>0.3</v>
      </c>
      <c r="C665" s="2">
        <v>0.5</v>
      </c>
      <c r="D665" s="2">
        <v>0.7</v>
      </c>
      <c r="E665" s="2">
        <v>1</v>
      </c>
      <c r="F665" s="2">
        <v>0.3</v>
      </c>
      <c r="G665" s="39">
        <v>25.399999618530273</v>
      </c>
      <c r="H665">
        <v>3.0513601303100586</v>
      </c>
    </row>
    <row r="666" spans="1:8" x14ac:dyDescent="0.25">
      <c r="A666" s="2">
        <v>655</v>
      </c>
      <c r="B666" s="2">
        <v>0.3</v>
      </c>
      <c r="C666" s="2">
        <v>0.5</v>
      </c>
      <c r="D666" s="2">
        <v>0.7</v>
      </c>
      <c r="E666" s="2">
        <v>1</v>
      </c>
      <c r="F666" s="2">
        <v>0.5</v>
      </c>
      <c r="G666" s="39">
        <v>12.699999809265137</v>
      </c>
      <c r="H666">
        <v>8.3849897384643555</v>
      </c>
    </row>
    <row r="667" spans="1:8" x14ac:dyDescent="0.25">
      <c r="A667" s="2">
        <v>656</v>
      </c>
      <c r="B667" s="2">
        <v>0.3</v>
      </c>
      <c r="C667" s="2">
        <v>0.5</v>
      </c>
      <c r="D667" s="2">
        <v>0.7</v>
      </c>
      <c r="E667" s="2">
        <v>1</v>
      </c>
      <c r="F667" s="2">
        <v>0.5</v>
      </c>
      <c r="G667" s="39">
        <v>15.899999618530273</v>
      </c>
      <c r="H667">
        <v>6.7766532897949219</v>
      </c>
    </row>
    <row r="668" spans="1:8" x14ac:dyDescent="0.25">
      <c r="A668" s="2">
        <v>657</v>
      </c>
      <c r="B668" s="2">
        <v>0.3</v>
      </c>
      <c r="C668" s="2">
        <v>0.5</v>
      </c>
      <c r="D668" s="2">
        <v>0.7</v>
      </c>
      <c r="E668" s="2">
        <v>1</v>
      </c>
      <c r="F668" s="2">
        <v>0.5</v>
      </c>
      <c r="G668" s="39">
        <v>25.399999618530273</v>
      </c>
      <c r="H668">
        <v>5.9820446968078613</v>
      </c>
    </row>
    <row r="669" spans="1:8" x14ac:dyDescent="0.25">
      <c r="A669" s="2">
        <v>658</v>
      </c>
      <c r="B669" s="2">
        <v>0.3</v>
      </c>
      <c r="C669" s="2">
        <v>0.5</v>
      </c>
      <c r="D669" s="2">
        <v>0.7</v>
      </c>
      <c r="E669" s="2">
        <v>5.5</v>
      </c>
      <c r="F669" s="2">
        <v>0.1</v>
      </c>
      <c r="G669" s="39">
        <v>12.699999809265137</v>
      </c>
      <c r="H669">
        <v>1.0984548330307007</v>
      </c>
    </row>
    <row r="670" spans="1:8" x14ac:dyDescent="0.25">
      <c r="A670" s="2">
        <v>659</v>
      </c>
      <c r="B670" s="2">
        <v>0.3</v>
      </c>
      <c r="C670" s="2">
        <v>0.5</v>
      </c>
      <c r="D670" s="2">
        <v>0.7</v>
      </c>
      <c r="E670" s="2">
        <v>5.5</v>
      </c>
      <c r="F670" s="2">
        <v>0.1</v>
      </c>
      <c r="G670" s="39">
        <v>15.899999618530273</v>
      </c>
      <c r="H670">
        <v>0.88775867223739624</v>
      </c>
    </row>
    <row r="671" spans="1:8" x14ac:dyDescent="0.25">
      <c r="A671" s="2">
        <v>660</v>
      </c>
      <c r="B671" s="2">
        <v>0.3</v>
      </c>
      <c r="C671" s="2">
        <v>0.5</v>
      </c>
      <c r="D671" s="2">
        <v>0.7</v>
      </c>
      <c r="E671" s="2">
        <v>5.5</v>
      </c>
      <c r="F671" s="2">
        <v>0.1</v>
      </c>
      <c r="G671" s="39">
        <v>25.399999618530273</v>
      </c>
      <c r="H671">
        <v>0.78366291522979736</v>
      </c>
    </row>
    <row r="672" spans="1:8" x14ac:dyDescent="0.25">
      <c r="A672" s="2">
        <v>661</v>
      </c>
      <c r="B672" s="2">
        <v>0.3</v>
      </c>
      <c r="C672" s="2">
        <v>0.5</v>
      </c>
      <c r="D672" s="2">
        <v>0.7</v>
      </c>
      <c r="E672" s="2">
        <v>5.5</v>
      </c>
      <c r="F672" s="2">
        <v>0.3</v>
      </c>
      <c r="G672" s="39">
        <v>12.699999809265137</v>
      </c>
      <c r="H672">
        <v>0.78243410587310791</v>
      </c>
    </row>
    <row r="673" spans="1:8" x14ac:dyDescent="0.25">
      <c r="A673" s="2">
        <v>662</v>
      </c>
      <c r="B673" s="2">
        <v>0.3</v>
      </c>
      <c r="C673" s="2">
        <v>0.5</v>
      </c>
      <c r="D673" s="2">
        <v>0.7</v>
      </c>
      <c r="E673" s="2">
        <v>5.5</v>
      </c>
      <c r="F673" s="2">
        <v>0.3</v>
      </c>
      <c r="G673" s="39">
        <v>15.899999618530273</v>
      </c>
      <c r="H673">
        <v>0.63235431909561157</v>
      </c>
    </row>
    <row r="674" spans="1:8" x14ac:dyDescent="0.25">
      <c r="A674" s="2">
        <v>663</v>
      </c>
      <c r="B674" s="2">
        <v>0.3</v>
      </c>
      <c r="C674" s="2">
        <v>0.5</v>
      </c>
      <c r="D674" s="2">
        <v>0.7</v>
      </c>
      <c r="E674" s="2">
        <v>5.5</v>
      </c>
      <c r="F674" s="2">
        <v>0.3</v>
      </c>
      <c r="G674" s="39">
        <v>25.399999618530273</v>
      </c>
      <c r="H674">
        <v>0.55820643901824951</v>
      </c>
    </row>
    <row r="675" spans="1:8" x14ac:dyDescent="0.25">
      <c r="A675" s="2">
        <v>664</v>
      </c>
      <c r="B675" s="2">
        <v>0.3</v>
      </c>
      <c r="C675" s="2">
        <v>0.5</v>
      </c>
      <c r="D675" s="2">
        <v>0.7</v>
      </c>
      <c r="E675" s="2">
        <v>5.5</v>
      </c>
      <c r="F675" s="2">
        <v>0.5</v>
      </c>
      <c r="G675" s="39">
        <v>12.699999809265137</v>
      </c>
      <c r="H675">
        <v>1.4189856052398682</v>
      </c>
    </row>
    <row r="676" spans="1:8" x14ac:dyDescent="0.25">
      <c r="A676" s="2">
        <v>665</v>
      </c>
      <c r="B676" s="2">
        <v>0.3</v>
      </c>
      <c r="C676" s="2">
        <v>0.5</v>
      </c>
      <c r="D676" s="2">
        <v>0.7</v>
      </c>
      <c r="E676" s="2">
        <v>5.5</v>
      </c>
      <c r="F676" s="2">
        <v>0.5</v>
      </c>
      <c r="G676" s="39">
        <v>15.899999618530273</v>
      </c>
      <c r="H676">
        <v>1.1468079090118408</v>
      </c>
    </row>
    <row r="677" spans="1:8" x14ac:dyDescent="0.25">
      <c r="A677" s="2">
        <v>666</v>
      </c>
      <c r="B677" s="2">
        <v>0.3</v>
      </c>
      <c r="C677" s="2">
        <v>0.5</v>
      </c>
      <c r="D677" s="2">
        <v>0.7</v>
      </c>
      <c r="E677" s="2">
        <v>5.5</v>
      </c>
      <c r="F677" s="2">
        <v>0.5</v>
      </c>
      <c r="G677" s="39">
        <v>25.399999618530273</v>
      </c>
      <c r="H677">
        <v>1.0123368501663208</v>
      </c>
    </row>
    <row r="678" spans="1:8" x14ac:dyDescent="0.25">
      <c r="A678" s="2">
        <v>667</v>
      </c>
      <c r="B678" s="2">
        <v>0.3</v>
      </c>
      <c r="C678" s="2">
        <v>0.5</v>
      </c>
      <c r="D678" s="2">
        <v>0.7</v>
      </c>
      <c r="E678" s="2">
        <v>10</v>
      </c>
      <c r="F678" s="2">
        <v>0.1</v>
      </c>
      <c r="G678" s="39">
        <v>12.699999809265137</v>
      </c>
      <c r="H678">
        <v>0.23259997367858887</v>
      </c>
    </row>
    <row r="679" spans="1:8" x14ac:dyDescent="0.25">
      <c r="A679" s="2">
        <v>668</v>
      </c>
      <c r="B679" s="2">
        <v>0.3</v>
      </c>
      <c r="C679" s="2">
        <v>0.5</v>
      </c>
      <c r="D679" s="2">
        <v>0.7</v>
      </c>
      <c r="E679" s="2">
        <v>10</v>
      </c>
      <c r="F679" s="2">
        <v>0.1</v>
      </c>
      <c r="G679" s="39">
        <v>15.899999618530273</v>
      </c>
      <c r="H679">
        <v>0.1879846453666687</v>
      </c>
    </row>
    <row r="680" spans="1:8" x14ac:dyDescent="0.25">
      <c r="A680" s="2">
        <v>669</v>
      </c>
      <c r="B680" s="2">
        <v>0.3</v>
      </c>
      <c r="C680" s="2">
        <v>0.5</v>
      </c>
      <c r="D680" s="2">
        <v>0.7</v>
      </c>
      <c r="E680" s="2">
        <v>10</v>
      </c>
      <c r="F680" s="2">
        <v>0.1</v>
      </c>
      <c r="G680" s="39">
        <v>25.399999618530273</v>
      </c>
      <c r="H680">
        <v>0.16594216227531433</v>
      </c>
    </row>
    <row r="681" spans="1:8" x14ac:dyDescent="0.25">
      <c r="A681" s="2">
        <v>670</v>
      </c>
      <c r="B681" s="2">
        <v>0.3</v>
      </c>
      <c r="C681" s="2">
        <v>0.5</v>
      </c>
      <c r="D681" s="2">
        <v>0.7</v>
      </c>
      <c r="E681" s="2">
        <v>10</v>
      </c>
      <c r="F681" s="2">
        <v>0.3</v>
      </c>
      <c r="G681" s="39">
        <v>12.699999809265137</v>
      </c>
      <c r="H681">
        <v>0.21352286636829376</v>
      </c>
    </row>
    <row r="682" spans="1:8" x14ac:dyDescent="0.25">
      <c r="A682" s="2">
        <v>671</v>
      </c>
      <c r="B682" s="2">
        <v>0.3</v>
      </c>
      <c r="C682" s="2">
        <v>0.5</v>
      </c>
      <c r="D682" s="2">
        <v>0.7</v>
      </c>
      <c r="E682" s="2">
        <v>10</v>
      </c>
      <c r="F682" s="2">
        <v>0.3</v>
      </c>
      <c r="G682" s="39">
        <v>15.899999618530273</v>
      </c>
      <c r="H682">
        <v>0.1725667417049408</v>
      </c>
    </row>
    <row r="683" spans="1:8" x14ac:dyDescent="0.25">
      <c r="A683" s="2">
        <v>672</v>
      </c>
      <c r="B683" s="2">
        <v>0.3</v>
      </c>
      <c r="C683" s="2">
        <v>0.5</v>
      </c>
      <c r="D683" s="2">
        <v>0.7</v>
      </c>
      <c r="E683" s="2">
        <v>10</v>
      </c>
      <c r="F683" s="2">
        <v>0.3</v>
      </c>
      <c r="G683" s="39">
        <v>25.399999618530273</v>
      </c>
      <c r="H683">
        <v>0.1523321121931076</v>
      </c>
    </row>
    <row r="684" spans="1:8" x14ac:dyDescent="0.25">
      <c r="A684" s="2">
        <v>673</v>
      </c>
      <c r="B684" s="2">
        <v>0.3</v>
      </c>
      <c r="C684" s="2">
        <v>0.5</v>
      </c>
      <c r="D684" s="2">
        <v>0.7</v>
      </c>
      <c r="E684" s="2">
        <v>10</v>
      </c>
      <c r="F684" s="2">
        <v>0.5</v>
      </c>
      <c r="G684" s="39">
        <v>12.699999809265137</v>
      </c>
      <c r="H684">
        <v>0.44446241855621338</v>
      </c>
    </row>
    <row r="685" spans="1:8" x14ac:dyDescent="0.25">
      <c r="A685" s="2">
        <v>674</v>
      </c>
      <c r="B685" s="2">
        <v>0.3</v>
      </c>
      <c r="C685" s="2">
        <v>0.5</v>
      </c>
      <c r="D685" s="2">
        <v>0.7</v>
      </c>
      <c r="E685" s="2">
        <v>10</v>
      </c>
      <c r="F685" s="2">
        <v>0.5</v>
      </c>
      <c r="G685" s="39">
        <v>15.899999618530273</v>
      </c>
      <c r="H685">
        <v>0.35920944809913635</v>
      </c>
    </row>
    <row r="686" spans="1:8" x14ac:dyDescent="0.25">
      <c r="A686" s="2">
        <v>675</v>
      </c>
      <c r="B686" s="2">
        <v>0.3</v>
      </c>
      <c r="C686" s="2">
        <v>0.5</v>
      </c>
      <c r="D686" s="2">
        <v>0.7</v>
      </c>
      <c r="E686" s="2">
        <v>10</v>
      </c>
      <c r="F686" s="2">
        <v>0.5</v>
      </c>
      <c r="G686" s="39">
        <v>25.399999618530273</v>
      </c>
      <c r="H686">
        <v>0.31708970665931702</v>
      </c>
    </row>
    <row r="687" spans="1:8" x14ac:dyDescent="0.25">
      <c r="A687" s="2">
        <v>676</v>
      </c>
      <c r="B687" s="2">
        <v>0.3</v>
      </c>
      <c r="C687" s="2">
        <v>0.5</v>
      </c>
      <c r="D687" s="2">
        <v>0.82499999999999996</v>
      </c>
      <c r="E687" s="2">
        <v>1</v>
      </c>
      <c r="F687" s="2">
        <v>0.1</v>
      </c>
      <c r="G687" s="39">
        <v>12.699999809265137</v>
      </c>
      <c r="H687">
        <v>3.6737897396087646</v>
      </c>
    </row>
    <row r="688" spans="1:8" x14ac:dyDescent="0.25">
      <c r="A688" s="2">
        <v>677</v>
      </c>
      <c r="B688" s="2">
        <v>0.3</v>
      </c>
      <c r="C688" s="2">
        <v>0.5</v>
      </c>
      <c r="D688" s="2">
        <v>0.82499999999999996</v>
      </c>
      <c r="E688" s="2">
        <v>1</v>
      </c>
      <c r="F688" s="2">
        <v>0.1</v>
      </c>
      <c r="G688" s="39">
        <v>15.899999618530273</v>
      </c>
      <c r="H688">
        <v>2.9691150188446045</v>
      </c>
    </row>
    <row r="689" spans="1:8" x14ac:dyDescent="0.25">
      <c r="A689" s="2">
        <v>678</v>
      </c>
      <c r="B689" s="2">
        <v>0.3</v>
      </c>
      <c r="C689" s="2">
        <v>0.5</v>
      </c>
      <c r="D689" s="2">
        <v>0.82499999999999996</v>
      </c>
      <c r="E689" s="2">
        <v>1</v>
      </c>
      <c r="F689" s="2">
        <v>0.1</v>
      </c>
      <c r="G689" s="39">
        <v>25.399999618530273</v>
      </c>
      <c r="H689">
        <v>2.6209661960601807</v>
      </c>
    </row>
    <row r="690" spans="1:8" x14ac:dyDescent="0.25">
      <c r="A690" s="2">
        <v>679</v>
      </c>
      <c r="B690" s="2">
        <v>0.3</v>
      </c>
      <c r="C690" s="2">
        <v>0.5</v>
      </c>
      <c r="D690" s="2">
        <v>0.82499999999999996</v>
      </c>
      <c r="E690" s="2">
        <v>1</v>
      </c>
      <c r="F690" s="2">
        <v>0.3</v>
      </c>
      <c r="G690" s="39">
        <v>12.699999809265137</v>
      </c>
      <c r="H690">
        <v>2.9832074642181396</v>
      </c>
    </row>
    <row r="691" spans="1:8" x14ac:dyDescent="0.25">
      <c r="A691" s="2">
        <v>680</v>
      </c>
      <c r="B691" s="2">
        <v>0.3</v>
      </c>
      <c r="C691" s="2">
        <v>0.5</v>
      </c>
      <c r="D691" s="2">
        <v>0.82499999999999996</v>
      </c>
      <c r="E691" s="2">
        <v>1</v>
      </c>
      <c r="F691" s="2">
        <v>0.3</v>
      </c>
      <c r="G691" s="39">
        <v>15.899999618530273</v>
      </c>
      <c r="H691">
        <v>2.410994291305542</v>
      </c>
    </row>
    <row r="692" spans="1:8" x14ac:dyDescent="0.25">
      <c r="A692" s="2">
        <v>681</v>
      </c>
      <c r="B692" s="2">
        <v>0.3</v>
      </c>
      <c r="C692" s="2">
        <v>0.5</v>
      </c>
      <c r="D692" s="2">
        <v>0.82499999999999996</v>
      </c>
      <c r="E692" s="2">
        <v>1</v>
      </c>
      <c r="F692" s="2">
        <v>0.3</v>
      </c>
      <c r="G692" s="39">
        <v>25.399999618530273</v>
      </c>
      <c r="H692">
        <v>2.128288745880127</v>
      </c>
    </row>
    <row r="693" spans="1:8" x14ac:dyDescent="0.25">
      <c r="A693" s="2">
        <v>682</v>
      </c>
      <c r="B693" s="2">
        <v>0.3</v>
      </c>
      <c r="C693" s="2">
        <v>0.5</v>
      </c>
      <c r="D693" s="2">
        <v>0.82499999999999996</v>
      </c>
      <c r="E693" s="2">
        <v>1</v>
      </c>
      <c r="F693" s="2">
        <v>0.5</v>
      </c>
      <c r="G693" s="39">
        <v>12.699999809265137</v>
      </c>
      <c r="H693">
        <v>5.8484349250793457</v>
      </c>
    </row>
    <row r="694" spans="1:8" x14ac:dyDescent="0.25">
      <c r="A694" s="2">
        <v>683</v>
      </c>
      <c r="B694" s="2">
        <v>0.3</v>
      </c>
      <c r="C694" s="2">
        <v>0.5</v>
      </c>
      <c r="D694" s="2">
        <v>0.82499999999999996</v>
      </c>
      <c r="E694" s="2">
        <v>1</v>
      </c>
      <c r="F694" s="2">
        <v>0.5</v>
      </c>
      <c r="G694" s="39">
        <v>15.899999618530273</v>
      </c>
      <c r="H694">
        <v>4.7266383171081543</v>
      </c>
    </row>
    <row r="695" spans="1:8" x14ac:dyDescent="0.25">
      <c r="A695" s="2">
        <v>684</v>
      </c>
      <c r="B695" s="2">
        <v>0.3</v>
      </c>
      <c r="C695" s="2">
        <v>0.5</v>
      </c>
      <c r="D695" s="2">
        <v>0.82499999999999996</v>
      </c>
      <c r="E695" s="2">
        <v>1</v>
      </c>
      <c r="F695" s="2">
        <v>0.5</v>
      </c>
      <c r="G695" s="39">
        <v>25.399999618530273</v>
      </c>
      <c r="H695">
        <v>4.1724076271057129</v>
      </c>
    </row>
    <row r="696" spans="1:8" x14ac:dyDescent="0.25">
      <c r="A696" s="2">
        <v>685</v>
      </c>
      <c r="B696" s="2">
        <v>0.3</v>
      </c>
      <c r="C696" s="2">
        <v>0.5</v>
      </c>
      <c r="D696" s="2">
        <v>0.82499999999999996</v>
      </c>
      <c r="E696" s="2">
        <v>5.5</v>
      </c>
      <c r="F696" s="2">
        <v>0.1</v>
      </c>
      <c r="G696" s="39">
        <v>12.699999809265137</v>
      </c>
      <c r="H696">
        <v>0.76615971326828003</v>
      </c>
    </row>
    <row r="697" spans="1:8" x14ac:dyDescent="0.25">
      <c r="A697" s="2">
        <v>686</v>
      </c>
      <c r="B697" s="2">
        <v>0.3</v>
      </c>
      <c r="C697" s="2">
        <v>0.5</v>
      </c>
      <c r="D697" s="2">
        <v>0.82499999999999996</v>
      </c>
      <c r="E697" s="2">
        <v>5.5</v>
      </c>
      <c r="F697" s="2">
        <v>0.1</v>
      </c>
      <c r="G697" s="39">
        <v>15.899999618530273</v>
      </c>
      <c r="H697">
        <v>0.61920154094696045</v>
      </c>
    </row>
    <row r="698" spans="1:8" x14ac:dyDescent="0.25">
      <c r="A698" s="2">
        <v>687</v>
      </c>
      <c r="B698" s="2">
        <v>0.3</v>
      </c>
      <c r="C698" s="2">
        <v>0.5</v>
      </c>
      <c r="D698" s="2">
        <v>0.82499999999999996</v>
      </c>
      <c r="E698" s="2">
        <v>5.5</v>
      </c>
      <c r="F698" s="2">
        <v>0.1</v>
      </c>
      <c r="G698" s="39">
        <v>25.399999618530273</v>
      </c>
      <c r="H698">
        <v>0.54659593105316162</v>
      </c>
    </row>
    <row r="699" spans="1:8" x14ac:dyDescent="0.25">
      <c r="A699" s="2">
        <v>688</v>
      </c>
      <c r="B699" s="2">
        <v>0.3</v>
      </c>
      <c r="C699" s="2">
        <v>0.5</v>
      </c>
      <c r="D699" s="2">
        <v>0.82499999999999996</v>
      </c>
      <c r="E699" s="2">
        <v>5.5</v>
      </c>
      <c r="F699" s="2">
        <v>0.3</v>
      </c>
      <c r="G699" s="39">
        <v>12.699999809265137</v>
      </c>
      <c r="H699">
        <v>0.54573887586593628</v>
      </c>
    </row>
    <row r="700" spans="1:8" x14ac:dyDescent="0.25">
      <c r="A700" s="2">
        <v>689</v>
      </c>
      <c r="B700" s="2">
        <v>0.3</v>
      </c>
      <c r="C700" s="2">
        <v>0.5</v>
      </c>
      <c r="D700" s="2">
        <v>0.82499999999999996</v>
      </c>
      <c r="E700" s="2">
        <v>5.5</v>
      </c>
      <c r="F700" s="2">
        <v>0.3</v>
      </c>
      <c r="G700" s="39">
        <v>15.899999618530273</v>
      </c>
      <c r="H700">
        <v>0.44105991721153259</v>
      </c>
    </row>
    <row r="701" spans="1:8" x14ac:dyDescent="0.25">
      <c r="A701" s="2">
        <v>690</v>
      </c>
      <c r="B701" s="2">
        <v>0.3</v>
      </c>
      <c r="C701" s="2">
        <v>0.5</v>
      </c>
      <c r="D701" s="2">
        <v>0.82499999999999996</v>
      </c>
      <c r="E701" s="2">
        <v>5.5</v>
      </c>
      <c r="F701" s="2">
        <v>0.3</v>
      </c>
      <c r="G701" s="39">
        <v>25.399999618530273</v>
      </c>
      <c r="H701">
        <v>0.38934263586997986</v>
      </c>
    </row>
    <row r="702" spans="1:8" x14ac:dyDescent="0.25">
      <c r="A702" s="2">
        <v>691</v>
      </c>
      <c r="B702" s="2">
        <v>0.3</v>
      </c>
      <c r="C702" s="2">
        <v>0.5</v>
      </c>
      <c r="D702" s="2">
        <v>0.82499999999999996</v>
      </c>
      <c r="E702" s="2">
        <v>5.5</v>
      </c>
      <c r="F702" s="2">
        <v>0.5</v>
      </c>
      <c r="G702" s="39">
        <v>12.699999809265137</v>
      </c>
      <c r="H702">
        <v>0.98972624540328979</v>
      </c>
    </row>
    <row r="703" spans="1:8" x14ac:dyDescent="0.25">
      <c r="A703" s="2">
        <v>692</v>
      </c>
      <c r="B703" s="2">
        <v>0.3</v>
      </c>
      <c r="C703" s="2">
        <v>0.5</v>
      </c>
      <c r="D703" s="2">
        <v>0.82499999999999996</v>
      </c>
      <c r="E703" s="2">
        <v>5.5</v>
      </c>
      <c r="F703" s="2">
        <v>0.5</v>
      </c>
      <c r="G703" s="39">
        <v>15.899999618530273</v>
      </c>
      <c r="H703">
        <v>0.79988545179367065</v>
      </c>
    </row>
    <row r="704" spans="1:8" x14ac:dyDescent="0.25">
      <c r="A704" s="2">
        <v>693</v>
      </c>
      <c r="B704" s="2">
        <v>0.3</v>
      </c>
      <c r="C704" s="2">
        <v>0.5</v>
      </c>
      <c r="D704" s="2">
        <v>0.82499999999999996</v>
      </c>
      <c r="E704" s="2">
        <v>5.5</v>
      </c>
      <c r="F704" s="2">
        <v>0.5</v>
      </c>
      <c r="G704" s="39">
        <v>25.399999618530273</v>
      </c>
      <c r="H704">
        <v>0.706093430519104</v>
      </c>
    </row>
    <row r="705" spans="1:8" x14ac:dyDescent="0.25">
      <c r="A705" s="2">
        <v>694</v>
      </c>
      <c r="B705" s="2">
        <v>0.3</v>
      </c>
      <c r="C705" s="2">
        <v>0.5</v>
      </c>
      <c r="D705" s="2">
        <v>0.82499999999999996</v>
      </c>
      <c r="E705" s="2">
        <v>10</v>
      </c>
      <c r="F705" s="2">
        <v>0.1</v>
      </c>
      <c r="G705" s="39">
        <v>12.699999809265137</v>
      </c>
      <c r="H705">
        <v>0.16223582625389099</v>
      </c>
    </row>
    <row r="706" spans="1:8" x14ac:dyDescent="0.25">
      <c r="A706" s="2">
        <v>695</v>
      </c>
      <c r="B706" s="2">
        <v>0.3</v>
      </c>
      <c r="C706" s="2">
        <v>0.5</v>
      </c>
      <c r="D706" s="2">
        <v>0.82499999999999996</v>
      </c>
      <c r="E706" s="2">
        <v>10</v>
      </c>
      <c r="F706" s="2">
        <v>0.1</v>
      </c>
      <c r="G706" s="39">
        <v>15.899999618530273</v>
      </c>
      <c r="H706">
        <v>0.13111715018749237</v>
      </c>
    </row>
    <row r="707" spans="1:8" x14ac:dyDescent="0.25">
      <c r="A707" s="2">
        <v>696</v>
      </c>
      <c r="B707" s="2">
        <v>0.3</v>
      </c>
      <c r="C707" s="2">
        <v>0.5</v>
      </c>
      <c r="D707" s="2">
        <v>0.82499999999999996</v>
      </c>
      <c r="E707" s="2">
        <v>10</v>
      </c>
      <c r="F707" s="2">
        <v>0.1</v>
      </c>
      <c r="G707" s="39">
        <v>25.399999618530273</v>
      </c>
      <c r="H707">
        <v>0.1157427653670311</v>
      </c>
    </row>
    <row r="708" spans="1:8" x14ac:dyDescent="0.25">
      <c r="A708" s="2">
        <v>697</v>
      </c>
      <c r="B708" s="2">
        <v>0.3</v>
      </c>
      <c r="C708" s="2">
        <v>0.5</v>
      </c>
      <c r="D708" s="2">
        <v>0.82499999999999996</v>
      </c>
      <c r="E708" s="2">
        <v>10</v>
      </c>
      <c r="F708" s="2">
        <v>0.3</v>
      </c>
      <c r="G708" s="39">
        <v>12.699999809265137</v>
      </c>
      <c r="H708">
        <v>0.14892975986003876</v>
      </c>
    </row>
    <row r="709" spans="1:8" x14ac:dyDescent="0.25">
      <c r="A709" s="2">
        <v>698</v>
      </c>
      <c r="B709" s="2">
        <v>0.3</v>
      </c>
      <c r="C709" s="2">
        <v>0.5</v>
      </c>
      <c r="D709" s="2">
        <v>0.82499999999999996</v>
      </c>
      <c r="E709" s="2">
        <v>10</v>
      </c>
      <c r="F709" s="2">
        <v>0.3</v>
      </c>
      <c r="G709" s="39">
        <v>15.899999618530273</v>
      </c>
      <c r="H709">
        <v>0.12036333233118057</v>
      </c>
    </row>
    <row r="710" spans="1:8" x14ac:dyDescent="0.25">
      <c r="A710" s="2">
        <v>699</v>
      </c>
      <c r="B710" s="2">
        <v>0.3</v>
      </c>
      <c r="C710" s="2">
        <v>0.5</v>
      </c>
      <c r="D710" s="2">
        <v>0.82499999999999996</v>
      </c>
      <c r="E710" s="2">
        <v>10</v>
      </c>
      <c r="F710" s="2">
        <v>0.3</v>
      </c>
      <c r="G710" s="39">
        <v>25.399999618530273</v>
      </c>
      <c r="H710">
        <v>0.10624991357326508</v>
      </c>
    </row>
    <row r="711" spans="1:8" x14ac:dyDescent="0.25">
      <c r="A711" s="2">
        <v>700</v>
      </c>
      <c r="B711" s="2">
        <v>0.3</v>
      </c>
      <c r="C711" s="2">
        <v>0.5</v>
      </c>
      <c r="D711" s="2">
        <v>0.82499999999999996</v>
      </c>
      <c r="E711" s="2">
        <v>10</v>
      </c>
      <c r="F711" s="2">
        <v>0.5</v>
      </c>
      <c r="G711" s="39">
        <v>12.699999809265137</v>
      </c>
      <c r="H711">
        <v>0.31000745296478271</v>
      </c>
    </row>
    <row r="712" spans="1:8" x14ac:dyDescent="0.25">
      <c r="A712" s="2">
        <v>701</v>
      </c>
      <c r="B712" s="2">
        <v>0.3</v>
      </c>
      <c r="C712" s="2">
        <v>0.5</v>
      </c>
      <c r="D712" s="2">
        <v>0.82499999999999996</v>
      </c>
      <c r="E712" s="2">
        <v>10</v>
      </c>
      <c r="F712" s="2">
        <v>0.5</v>
      </c>
      <c r="G712" s="39">
        <v>15.899999618530273</v>
      </c>
      <c r="H712">
        <v>0.25054448843002319</v>
      </c>
    </row>
    <row r="713" spans="1:8" x14ac:dyDescent="0.25">
      <c r="A713" s="2">
        <v>702</v>
      </c>
      <c r="B713" s="2">
        <v>0.3</v>
      </c>
      <c r="C713" s="2">
        <v>0.5</v>
      </c>
      <c r="D713" s="2">
        <v>0.82499999999999996</v>
      </c>
      <c r="E713" s="2">
        <v>10</v>
      </c>
      <c r="F713" s="2">
        <v>0.5</v>
      </c>
      <c r="G713" s="39">
        <v>25.399999618530273</v>
      </c>
      <c r="H713">
        <v>0.22116644680500031</v>
      </c>
    </row>
    <row r="714" spans="1:8" x14ac:dyDescent="0.25">
      <c r="A714" s="2">
        <v>703</v>
      </c>
      <c r="B714" s="2">
        <v>0.3</v>
      </c>
      <c r="C714" s="2">
        <v>0.5</v>
      </c>
      <c r="D714" s="2">
        <v>0.95</v>
      </c>
      <c r="E714" s="2">
        <v>1</v>
      </c>
      <c r="F714" s="2">
        <v>0.1</v>
      </c>
      <c r="G714" s="39">
        <v>12.699999809265137</v>
      </c>
      <c r="H714">
        <v>2.0804111957550049</v>
      </c>
    </row>
    <row r="715" spans="1:8" x14ac:dyDescent="0.25">
      <c r="A715" s="2">
        <v>704</v>
      </c>
      <c r="B715" s="2">
        <v>0.3</v>
      </c>
      <c r="C715" s="2">
        <v>0.5</v>
      </c>
      <c r="D715" s="2">
        <v>0.95</v>
      </c>
      <c r="E715" s="2">
        <v>1</v>
      </c>
      <c r="F715" s="2">
        <v>0.1</v>
      </c>
      <c r="G715" s="39">
        <v>15.899999618530273</v>
      </c>
      <c r="H715">
        <v>1.6813646554946899</v>
      </c>
    </row>
    <row r="716" spans="1:8" x14ac:dyDescent="0.25">
      <c r="A716" s="2">
        <v>705</v>
      </c>
      <c r="B716" s="2">
        <v>0.3</v>
      </c>
      <c r="C716" s="2">
        <v>0.5</v>
      </c>
      <c r="D716" s="2">
        <v>0.95</v>
      </c>
      <c r="E716" s="2">
        <v>1</v>
      </c>
      <c r="F716" s="2">
        <v>0.1</v>
      </c>
      <c r="G716" s="39">
        <v>25.399999618530273</v>
      </c>
      <c r="H716">
        <v>1.4842132329940796</v>
      </c>
    </row>
    <row r="717" spans="1:8" x14ac:dyDescent="0.25">
      <c r="A717" s="2">
        <v>706</v>
      </c>
      <c r="B717" s="2">
        <v>0.3</v>
      </c>
      <c r="C717" s="2">
        <v>0.5</v>
      </c>
      <c r="D717" s="2">
        <v>0.95</v>
      </c>
      <c r="E717" s="2">
        <v>1</v>
      </c>
      <c r="F717" s="2">
        <v>0.3</v>
      </c>
      <c r="G717" s="39">
        <v>12.699999809265137</v>
      </c>
      <c r="H717">
        <v>1.6893450021743774</v>
      </c>
    </row>
    <row r="718" spans="1:8" x14ac:dyDescent="0.25">
      <c r="A718" s="2">
        <v>707</v>
      </c>
      <c r="B718" s="2">
        <v>0.3</v>
      </c>
      <c r="C718" s="2">
        <v>0.5</v>
      </c>
      <c r="D718" s="2">
        <v>0.95</v>
      </c>
      <c r="E718" s="2">
        <v>1</v>
      </c>
      <c r="F718" s="2">
        <v>0.3</v>
      </c>
      <c r="G718" s="39">
        <v>15.899999618530273</v>
      </c>
      <c r="H718">
        <v>1.3653093576431274</v>
      </c>
    </row>
    <row r="719" spans="1:8" x14ac:dyDescent="0.25">
      <c r="A719" s="2">
        <v>708</v>
      </c>
      <c r="B719" s="2">
        <v>0.3</v>
      </c>
      <c r="C719" s="2">
        <v>0.5</v>
      </c>
      <c r="D719" s="2">
        <v>0.95</v>
      </c>
      <c r="E719" s="2">
        <v>1</v>
      </c>
      <c r="F719" s="2">
        <v>0.3</v>
      </c>
      <c r="G719" s="39">
        <v>25.399999618530273</v>
      </c>
      <c r="H719">
        <v>1.2052175998687744</v>
      </c>
    </row>
    <row r="720" spans="1:8" x14ac:dyDescent="0.25">
      <c r="A720" s="2">
        <v>709</v>
      </c>
      <c r="B720" s="2">
        <v>0.3</v>
      </c>
      <c r="C720" s="2">
        <v>0.5</v>
      </c>
      <c r="D720" s="2">
        <v>0.95</v>
      </c>
      <c r="E720" s="2">
        <v>1</v>
      </c>
      <c r="F720" s="2">
        <v>0.5</v>
      </c>
      <c r="G720" s="39">
        <v>12.699999809265137</v>
      </c>
      <c r="H720">
        <v>3.3118796348571777</v>
      </c>
    </row>
    <row r="721" spans="1:8" x14ac:dyDescent="0.25">
      <c r="A721" s="2">
        <v>710</v>
      </c>
      <c r="B721" s="2">
        <v>0.3</v>
      </c>
      <c r="C721" s="2">
        <v>0.5</v>
      </c>
      <c r="D721" s="2">
        <v>0.95</v>
      </c>
      <c r="E721" s="2">
        <v>1</v>
      </c>
      <c r="F721" s="2">
        <v>0.5</v>
      </c>
      <c r="G721" s="39">
        <v>15.899999618530273</v>
      </c>
      <c r="H721">
        <v>2.6766233444213867</v>
      </c>
    </row>
    <row r="722" spans="1:8" x14ac:dyDescent="0.25">
      <c r="A722" s="2">
        <v>711</v>
      </c>
      <c r="B722" s="2">
        <v>0.3</v>
      </c>
      <c r="C722" s="2">
        <v>0.5</v>
      </c>
      <c r="D722" s="2">
        <v>0.95</v>
      </c>
      <c r="E722" s="2">
        <v>1</v>
      </c>
      <c r="F722" s="2">
        <v>0.5</v>
      </c>
      <c r="G722" s="39">
        <v>25.399999618530273</v>
      </c>
      <c r="H722">
        <v>2.3627710342407227</v>
      </c>
    </row>
    <row r="723" spans="1:8" x14ac:dyDescent="0.25">
      <c r="A723" s="2">
        <v>712</v>
      </c>
      <c r="B723" s="2">
        <v>0.3</v>
      </c>
      <c r="C723" s="2">
        <v>0.5</v>
      </c>
      <c r="D723" s="2">
        <v>0.95</v>
      </c>
      <c r="E723" s="2">
        <v>5.5</v>
      </c>
      <c r="F723" s="2">
        <v>0.1</v>
      </c>
      <c r="G723" s="39">
        <v>12.699999809265137</v>
      </c>
      <c r="H723">
        <v>0.43386459350585938</v>
      </c>
    </row>
    <row r="724" spans="1:8" x14ac:dyDescent="0.25">
      <c r="A724" s="2">
        <v>713</v>
      </c>
      <c r="B724" s="2">
        <v>0.3</v>
      </c>
      <c r="C724" s="2">
        <v>0.5</v>
      </c>
      <c r="D724" s="2">
        <v>0.95</v>
      </c>
      <c r="E724" s="2">
        <v>5.5</v>
      </c>
      <c r="F724" s="2">
        <v>0.1</v>
      </c>
      <c r="G724" s="39">
        <v>15.899999618530273</v>
      </c>
      <c r="H724">
        <v>0.35064440965652466</v>
      </c>
    </row>
    <row r="725" spans="1:8" x14ac:dyDescent="0.25">
      <c r="A725" s="2">
        <v>714</v>
      </c>
      <c r="B725" s="2">
        <v>0.3</v>
      </c>
      <c r="C725" s="2">
        <v>0.5</v>
      </c>
      <c r="D725" s="2">
        <v>0.95</v>
      </c>
      <c r="E725" s="2">
        <v>5.5</v>
      </c>
      <c r="F725" s="2">
        <v>0.1</v>
      </c>
      <c r="G725" s="39">
        <v>25.399999618530273</v>
      </c>
      <c r="H725">
        <v>0.30952897667884827</v>
      </c>
    </row>
    <row r="726" spans="1:8" x14ac:dyDescent="0.25">
      <c r="A726" s="2">
        <v>715</v>
      </c>
      <c r="B726" s="2">
        <v>0.3</v>
      </c>
      <c r="C726" s="2">
        <v>0.5</v>
      </c>
      <c r="D726" s="2">
        <v>0.95</v>
      </c>
      <c r="E726" s="2">
        <v>5.5</v>
      </c>
      <c r="F726" s="2">
        <v>0.3</v>
      </c>
      <c r="G726" s="39">
        <v>12.699999809265137</v>
      </c>
      <c r="H726">
        <v>0.30904361605644226</v>
      </c>
    </row>
    <row r="727" spans="1:8" x14ac:dyDescent="0.25">
      <c r="A727" s="2">
        <v>716</v>
      </c>
      <c r="B727" s="2">
        <v>0.3</v>
      </c>
      <c r="C727" s="2">
        <v>0.5</v>
      </c>
      <c r="D727" s="2">
        <v>0.95</v>
      </c>
      <c r="E727" s="2">
        <v>5.5</v>
      </c>
      <c r="F727" s="2">
        <v>0.3</v>
      </c>
      <c r="G727" s="39">
        <v>15.899999618530273</v>
      </c>
      <c r="H727">
        <v>0.24976551532745361</v>
      </c>
    </row>
    <row r="728" spans="1:8" x14ac:dyDescent="0.25">
      <c r="A728" s="2">
        <v>717</v>
      </c>
      <c r="B728" s="2">
        <v>0.3</v>
      </c>
      <c r="C728" s="2">
        <v>0.5</v>
      </c>
      <c r="D728" s="2">
        <v>0.95</v>
      </c>
      <c r="E728" s="2">
        <v>5.5</v>
      </c>
      <c r="F728" s="2">
        <v>0.3</v>
      </c>
      <c r="G728" s="39">
        <v>25.399999618530273</v>
      </c>
      <c r="H728">
        <v>0.22047880291938782</v>
      </c>
    </row>
    <row r="729" spans="1:8" x14ac:dyDescent="0.25">
      <c r="A729" s="2">
        <v>718</v>
      </c>
      <c r="B729" s="2">
        <v>0.3</v>
      </c>
      <c r="C729" s="2">
        <v>0.5</v>
      </c>
      <c r="D729" s="2">
        <v>0.95</v>
      </c>
      <c r="E729" s="2">
        <v>5.5</v>
      </c>
      <c r="F729" s="2">
        <v>0.5</v>
      </c>
      <c r="G729" s="39">
        <v>12.699999809265137</v>
      </c>
      <c r="H729">
        <v>0.56046688556671143</v>
      </c>
    </row>
    <row r="730" spans="1:8" x14ac:dyDescent="0.25">
      <c r="A730" s="2">
        <v>719</v>
      </c>
      <c r="B730" s="2">
        <v>0.3</v>
      </c>
      <c r="C730" s="2">
        <v>0.5</v>
      </c>
      <c r="D730" s="2">
        <v>0.95</v>
      </c>
      <c r="E730" s="2">
        <v>5.5</v>
      </c>
      <c r="F730" s="2">
        <v>0.5</v>
      </c>
      <c r="G730" s="39">
        <v>15.899999618530273</v>
      </c>
      <c r="H730">
        <v>0.45296293497085571</v>
      </c>
    </row>
    <row r="731" spans="1:8" x14ac:dyDescent="0.25">
      <c r="A731" s="2">
        <v>720</v>
      </c>
      <c r="B731" s="2">
        <v>0.3</v>
      </c>
      <c r="C731" s="2">
        <v>0.5</v>
      </c>
      <c r="D731" s="2">
        <v>0.95</v>
      </c>
      <c r="E731" s="2">
        <v>5.5</v>
      </c>
      <c r="F731" s="2">
        <v>0.5</v>
      </c>
      <c r="G731" s="39">
        <v>25.399999618530273</v>
      </c>
      <c r="H731">
        <v>0.39984995126724243</v>
      </c>
    </row>
    <row r="732" spans="1:8" x14ac:dyDescent="0.25">
      <c r="A732" s="2">
        <v>721</v>
      </c>
      <c r="B732" s="2">
        <v>0.3</v>
      </c>
      <c r="C732" s="2">
        <v>0.5</v>
      </c>
      <c r="D732" s="2">
        <v>0.95</v>
      </c>
      <c r="E732" s="2">
        <v>10</v>
      </c>
      <c r="F732" s="2">
        <v>0.1</v>
      </c>
      <c r="G732" s="39">
        <v>12.699999809265137</v>
      </c>
      <c r="H732">
        <v>9.1871678829193115E-2</v>
      </c>
    </row>
    <row r="733" spans="1:8" x14ac:dyDescent="0.25">
      <c r="A733" s="2">
        <v>722</v>
      </c>
      <c r="B733" s="2">
        <v>0.3</v>
      </c>
      <c r="C733" s="2">
        <v>0.5</v>
      </c>
      <c r="D733" s="2">
        <v>0.95</v>
      </c>
      <c r="E733" s="2">
        <v>10</v>
      </c>
      <c r="F733" s="2">
        <v>0.1</v>
      </c>
      <c r="G733" s="39">
        <v>15.899999618530273</v>
      </c>
      <c r="H733">
        <v>7.4249647557735443E-2</v>
      </c>
    </row>
    <row r="734" spans="1:8" x14ac:dyDescent="0.25">
      <c r="A734" s="2">
        <v>723</v>
      </c>
      <c r="B734" s="2">
        <v>0.3</v>
      </c>
      <c r="C734" s="2">
        <v>0.5</v>
      </c>
      <c r="D734" s="2">
        <v>0.95</v>
      </c>
      <c r="E734" s="2">
        <v>10</v>
      </c>
      <c r="F734" s="2">
        <v>0.1</v>
      </c>
      <c r="G734" s="39">
        <v>25.399999618530273</v>
      </c>
      <c r="H734">
        <v>6.5543368458747864E-2</v>
      </c>
    </row>
    <row r="735" spans="1:8" x14ac:dyDescent="0.25">
      <c r="A735" s="2">
        <v>724</v>
      </c>
      <c r="B735" s="2">
        <v>0.3</v>
      </c>
      <c r="C735" s="2">
        <v>0.5</v>
      </c>
      <c r="D735" s="2">
        <v>0.95</v>
      </c>
      <c r="E735" s="2">
        <v>10</v>
      </c>
      <c r="F735" s="2">
        <v>0.3</v>
      </c>
      <c r="G735" s="39">
        <v>12.699999809265137</v>
      </c>
      <c r="H735">
        <v>8.4336653351783752E-2</v>
      </c>
    </row>
    <row r="736" spans="1:8" x14ac:dyDescent="0.25">
      <c r="A736" s="2">
        <v>725</v>
      </c>
      <c r="B736" s="2">
        <v>0.3</v>
      </c>
      <c r="C736" s="2">
        <v>0.5</v>
      </c>
      <c r="D736" s="2">
        <v>0.95</v>
      </c>
      <c r="E736" s="2">
        <v>10</v>
      </c>
      <c r="F736" s="2">
        <v>0.3</v>
      </c>
      <c r="G736" s="39">
        <v>15.899999618530273</v>
      </c>
      <c r="H736">
        <v>6.8159922957420349E-2</v>
      </c>
    </row>
    <row r="737" spans="1:8" x14ac:dyDescent="0.25">
      <c r="A737" s="2">
        <v>726</v>
      </c>
      <c r="B737" s="2">
        <v>0.3</v>
      </c>
      <c r="C737" s="2">
        <v>0.5</v>
      </c>
      <c r="D737" s="2">
        <v>0.95</v>
      </c>
      <c r="E737" s="2">
        <v>10</v>
      </c>
      <c r="F737" s="2">
        <v>0.3</v>
      </c>
      <c r="G737" s="39">
        <v>25.399999618530273</v>
      </c>
      <c r="H737">
        <v>6.0167707502841949E-2</v>
      </c>
    </row>
    <row r="738" spans="1:8" x14ac:dyDescent="0.25">
      <c r="A738" s="2">
        <v>727</v>
      </c>
      <c r="B738" s="2">
        <v>0.3</v>
      </c>
      <c r="C738" s="2">
        <v>0.5</v>
      </c>
      <c r="D738" s="2">
        <v>0.95</v>
      </c>
      <c r="E738" s="2">
        <v>10</v>
      </c>
      <c r="F738" s="2">
        <v>0.5</v>
      </c>
      <c r="G738" s="39">
        <v>12.699999809265137</v>
      </c>
      <c r="H738">
        <v>0.17555250227451324</v>
      </c>
    </row>
    <row r="739" spans="1:8" x14ac:dyDescent="0.25">
      <c r="A739" s="2">
        <v>728</v>
      </c>
      <c r="B739" s="2">
        <v>0.3</v>
      </c>
      <c r="C739" s="2">
        <v>0.5</v>
      </c>
      <c r="D739" s="2">
        <v>0.95</v>
      </c>
      <c r="E739" s="2">
        <v>10</v>
      </c>
      <c r="F739" s="2">
        <v>0.5</v>
      </c>
      <c r="G739" s="39">
        <v>15.899999618530273</v>
      </c>
      <c r="H739">
        <v>0.14187952876091003</v>
      </c>
    </row>
    <row r="740" spans="1:8" x14ac:dyDescent="0.25">
      <c r="A740" s="2">
        <v>729</v>
      </c>
      <c r="B740" s="2">
        <v>0.3</v>
      </c>
      <c r="C740" s="2">
        <v>0.5</v>
      </c>
      <c r="D740" s="2">
        <v>0.95</v>
      </c>
      <c r="E740" s="2">
        <v>10</v>
      </c>
      <c r="F740" s="2">
        <v>0.5</v>
      </c>
      <c r="G740" s="39">
        <v>25.399999618530273</v>
      </c>
      <c r="H740">
        <v>0.12524318695068359</v>
      </c>
    </row>
  </sheetData>
  <mergeCells count="7">
    <mergeCell ref="Q4:S4"/>
    <mergeCell ref="A4:A6"/>
    <mergeCell ref="B4:D4"/>
    <mergeCell ref="E4:G4"/>
    <mergeCell ref="H4:J4"/>
    <mergeCell ref="K4:M4"/>
    <mergeCell ref="N4:P4"/>
  </mergeCells>
  <pageMargins left="0.7" right="0.7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2881" r:id="rId4" name="Button 1">
              <controlPr defaultSize="0" print="0" autoFill="0" autoPict="0" macro="[0]!Sheet3.calcAvgStDevBuriedDef">
                <anchor moveWithCells="1" sizeWithCells="1">
                  <from>
                    <xdr:col>14</xdr:col>
                    <xdr:colOff>133350</xdr:colOff>
                    <xdr:row>8</xdr:row>
                    <xdr:rowOff>85725</xdr:rowOff>
                  </from>
                  <to>
                    <xdr:col>17</xdr:col>
                    <xdr:colOff>285750</xdr:colOff>
                    <xdr:row>10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X118"/>
  <sheetViews>
    <sheetView showGridLines="0" topLeftCell="A49" zoomScale="69" zoomScaleNormal="69" workbookViewId="0">
      <selection activeCell="A64" sqref="A64"/>
    </sheetView>
  </sheetViews>
  <sheetFormatPr defaultRowHeight="15" x14ac:dyDescent="0.25"/>
  <cols>
    <col min="17" max="17" width="16.85546875" customWidth="1"/>
    <col min="18" max="18" width="13.5703125" bestFit="1" customWidth="1"/>
    <col min="19" max="20" width="11.28515625" bestFit="1" customWidth="1"/>
    <col min="21" max="21" width="10.140625" bestFit="1" customWidth="1"/>
  </cols>
  <sheetData>
    <row r="1" spans="1:20" x14ac:dyDescent="0.25">
      <c r="A1" s="1" t="s">
        <v>64</v>
      </c>
      <c r="L1" s="20"/>
      <c r="M1" s="14"/>
      <c r="T1" s="14"/>
    </row>
    <row r="2" spans="1:20" x14ac:dyDescent="0.25">
      <c r="L2" s="20"/>
      <c r="M2" s="14"/>
      <c r="N2" t="s">
        <v>84</v>
      </c>
      <c r="T2" s="14"/>
    </row>
    <row r="3" spans="1:20" x14ac:dyDescent="0.25">
      <c r="L3" s="20"/>
      <c r="M3" s="14"/>
      <c r="T3" s="14"/>
    </row>
    <row r="4" spans="1:20" x14ac:dyDescent="0.25">
      <c r="L4" s="20"/>
      <c r="M4" s="14"/>
      <c r="T4" s="14"/>
    </row>
    <row r="5" spans="1:20" x14ac:dyDescent="0.25">
      <c r="L5" s="20"/>
      <c r="M5" s="14"/>
      <c r="T5" s="14"/>
    </row>
    <row r="6" spans="1:20" x14ac:dyDescent="0.25">
      <c r="A6" t="s">
        <v>65</v>
      </c>
      <c r="B6" t="s">
        <v>66</v>
      </c>
      <c r="L6" s="20"/>
      <c r="M6" s="14"/>
      <c r="T6" s="14"/>
    </row>
    <row r="7" spans="1:20" x14ac:dyDescent="0.25">
      <c r="A7" t="s">
        <v>67</v>
      </c>
      <c r="B7" t="s">
        <v>68</v>
      </c>
      <c r="L7" s="20"/>
      <c r="M7" s="14"/>
      <c r="T7" s="14"/>
    </row>
    <row r="8" spans="1:20" x14ac:dyDescent="0.25">
      <c r="A8" t="s">
        <v>69</v>
      </c>
      <c r="B8" t="s">
        <v>70</v>
      </c>
      <c r="L8" s="20"/>
      <c r="M8" s="14"/>
      <c r="T8" s="14"/>
    </row>
    <row r="9" spans="1:20" ht="16.5" x14ac:dyDescent="0.3">
      <c r="A9" t="s">
        <v>72</v>
      </c>
      <c r="B9" t="s">
        <v>71</v>
      </c>
      <c r="L9" s="20"/>
      <c r="M9" s="14"/>
      <c r="T9" s="14"/>
    </row>
    <row r="10" spans="1:20" ht="18.75" x14ac:dyDescent="0.3">
      <c r="A10" t="s">
        <v>73</v>
      </c>
      <c r="B10" t="s">
        <v>74</v>
      </c>
      <c r="L10" s="20"/>
      <c r="M10" s="14"/>
      <c r="T10" s="14"/>
    </row>
    <row r="11" spans="1:20" ht="18" x14ac:dyDescent="0.35">
      <c r="A11" t="s">
        <v>75</v>
      </c>
      <c r="B11" t="s">
        <v>76</v>
      </c>
      <c r="L11" s="20"/>
      <c r="M11" s="14"/>
      <c r="T11" s="14"/>
    </row>
    <row r="12" spans="1:20" ht="18" x14ac:dyDescent="0.35">
      <c r="A12" t="s">
        <v>78</v>
      </c>
      <c r="B12" t="s">
        <v>77</v>
      </c>
      <c r="L12" s="20"/>
      <c r="M12" s="14"/>
      <c r="T12" s="14"/>
    </row>
    <row r="13" spans="1:20" x14ac:dyDescent="0.25">
      <c r="L13" s="20"/>
      <c r="M13" s="14"/>
      <c r="N13" t="s">
        <v>87</v>
      </c>
      <c r="T13" s="14"/>
    </row>
    <row r="14" spans="1:20" x14ac:dyDescent="0.25">
      <c r="A14" t="s">
        <v>86</v>
      </c>
      <c r="L14" s="20"/>
      <c r="M14" s="14"/>
      <c r="N14" t="s">
        <v>88</v>
      </c>
      <c r="T14" s="14"/>
    </row>
    <row r="15" spans="1:20" x14ac:dyDescent="0.25">
      <c r="L15" s="20"/>
      <c r="M15" s="14"/>
      <c r="N15" t="s">
        <v>89</v>
      </c>
      <c r="T15" s="14"/>
    </row>
    <row r="16" spans="1:20" x14ac:dyDescent="0.25">
      <c r="L16" s="20"/>
      <c r="M16" s="14"/>
      <c r="N16" s="11"/>
      <c r="O16" s="12"/>
      <c r="P16" s="12"/>
      <c r="Q16" s="12"/>
      <c r="R16" s="12"/>
      <c r="S16" s="12"/>
      <c r="T16" s="15"/>
    </row>
    <row r="17" spans="1:16" x14ac:dyDescent="0.25">
      <c r="L17" s="20"/>
      <c r="M17" s="14"/>
    </row>
    <row r="18" spans="1:16" x14ac:dyDescent="0.25">
      <c r="L18" s="20"/>
      <c r="M18" s="14"/>
    </row>
    <row r="19" spans="1:16" x14ac:dyDescent="0.25">
      <c r="L19" s="20"/>
      <c r="M19" s="14"/>
      <c r="O19" s="71"/>
      <c r="P19" s="72"/>
    </row>
    <row r="20" spans="1:16" x14ac:dyDescent="0.25">
      <c r="A20" t="s">
        <v>116</v>
      </c>
      <c r="L20" s="20"/>
      <c r="M20" s="14"/>
      <c r="O20" s="71"/>
      <c r="P20" s="71"/>
    </row>
    <row r="21" spans="1:16" x14ac:dyDescent="0.25">
      <c r="L21" s="20"/>
      <c r="M21" s="14"/>
      <c r="O21" s="71"/>
      <c r="P21" s="71"/>
    </row>
    <row r="22" spans="1:16" x14ac:dyDescent="0.25">
      <c r="L22" s="20"/>
      <c r="M22" s="14"/>
    </row>
    <row r="23" spans="1:16" x14ac:dyDescent="0.25">
      <c r="L23" s="20"/>
      <c r="M23" s="14"/>
    </row>
    <row r="24" spans="1:16" x14ac:dyDescent="0.25">
      <c r="L24" s="20"/>
      <c r="M24" s="14"/>
    </row>
    <row r="25" spans="1:16" x14ac:dyDescent="0.25">
      <c r="L25" s="20"/>
      <c r="M25" s="14"/>
    </row>
    <row r="26" spans="1:16" x14ac:dyDescent="0.25">
      <c r="L26" s="20"/>
      <c r="M26" s="14"/>
    </row>
    <row r="27" spans="1:16" x14ac:dyDescent="0.25">
      <c r="A27" s="54" t="s">
        <v>85</v>
      </c>
      <c r="L27" s="20"/>
      <c r="M27" s="14"/>
    </row>
    <row r="28" spans="1:16" x14ac:dyDescent="0.25">
      <c r="L28" s="20"/>
      <c r="M28" s="14"/>
    </row>
    <row r="29" spans="1:16" x14ac:dyDescent="0.25">
      <c r="L29" s="20"/>
      <c r="M29" s="14"/>
    </row>
    <row r="30" spans="1:16" x14ac:dyDescent="0.25">
      <c r="L30" s="20"/>
      <c r="M30" s="14"/>
    </row>
    <row r="31" spans="1:16" x14ac:dyDescent="0.25">
      <c r="L31" s="20"/>
      <c r="M31" s="14"/>
    </row>
    <row r="32" spans="1:16" x14ac:dyDescent="0.25">
      <c r="L32" s="20"/>
      <c r="M32" s="14"/>
    </row>
    <row r="33" spans="12:13" x14ac:dyDescent="0.25">
      <c r="L33" s="20"/>
      <c r="M33" s="14"/>
    </row>
    <row r="34" spans="12:13" x14ac:dyDescent="0.25">
      <c r="L34" s="20"/>
      <c r="M34" s="14"/>
    </row>
    <row r="35" spans="12:13" x14ac:dyDescent="0.25">
      <c r="L35" s="20"/>
      <c r="M35" s="14"/>
    </row>
    <row r="36" spans="12:13" x14ac:dyDescent="0.25">
      <c r="L36" s="20"/>
      <c r="M36" s="14"/>
    </row>
    <row r="37" spans="12:13" x14ac:dyDescent="0.25">
      <c r="L37" s="20"/>
      <c r="M37" s="14"/>
    </row>
    <row r="38" spans="12:13" x14ac:dyDescent="0.25">
      <c r="L38" s="20"/>
      <c r="M38" s="14"/>
    </row>
    <row r="39" spans="12:13" x14ac:dyDescent="0.25">
      <c r="L39" s="20"/>
      <c r="M39" s="14"/>
    </row>
    <row r="40" spans="12:13" x14ac:dyDescent="0.25">
      <c r="L40" s="20"/>
      <c r="M40" s="14"/>
    </row>
    <row r="41" spans="12:13" x14ac:dyDescent="0.25">
      <c r="L41" s="20"/>
      <c r="M41" s="14"/>
    </row>
    <row r="42" spans="12:13" x14ac:dyDescent="0.25">
      <c r="L42" s="20"/>
      <c r="M42" s="14"/>
    </row>
    <row r="43" spans="12:13" x14ac:dyDescent="0.25">
      <c r="L43" s="20"/>
      <c r="M43" s="14"/>
    </row>
    <row r="44" spans="12:13" x14ac:dyDescent="0.25">
      <c r="L44" s="20"/>
      <c r="M44" s="14"/>
    </row>
    <row r="45" spans="12:13" x14ac:dyDescent="0.25">
      <c r="L45" s="20"/>
      <c r="M45" s="14"/>
    </row>
    <row r="46" spans="12:13" x14ac:dyDescent="0.25">
      <c r="L46" s="20"/>
      <c r="M46" s="14"/>
    </row>
    <row r="47" spans="12:13" x14ac:dyDescent="0.25">
      <c r="L47" s="20"/>
      <c r="M47" s="14"/>
    </row>
    <row r="48" spans="12:13" x14ac:dyDescent="0.25">
      <c r="L48" s="20"/>
      <c r="M48" s="14"/>
    </row>
    <row r="49" spans="1:13" x14ac:dyDescent="0.25">
      <c r="L49" s="20"/>
      <c r="M49" s="14"/>
    </row>
    <row r="50" spans="1:13" x14ac:dyDescent="0.25">
      <c r="L50" s="20"/>
      <c r="M50" s="14"/>
    </row>
    <row r="51" spans="1:13" x14ac:dyDescent="0.25">
      <c r="L51" s="20"/>
      <c r="M51" s="14"/>
    </row>
    <row r="52" spans="1:13" x14ac:dyDescent="0.25">
      <c r="L52" s="20"/>
      <c r="M52" s="14"/>
    </row>
    <row r="53" spans="1:13" x14ac:dyDescent="0.25">
      <c r="L53" s="20"/>
      <c r="M53" s="14"/>
    </row>
    <row r="54" spans="1:13" x14ac:dyDescent="0.25">
      <c r="L54" s="20"/>
      <c r="M54" s="14"/>
    </row>
    <row r="55" spans="1:13" x14ac:dyDescent="0.25">
      <c r="L55" s="20"/>
      <c r="M55" s="14"/>
    </row>
    <row r="56" spans="1:13" x14ac:dyDescent="0.25">
      <c r="L56" s="20"/>
      <c r="M56" s="14"/>
    </row>
    <row r="57" spans="1:13" x14ac:dyDescent="0.25">
      <c r="L57" s="20"/>
      <c r="M57" s="14"/>
    </row>
    <row r="58" spans="1:13" x14ac:dyDescent="0.25">
      <c r="L58" s="20"/>
      <c r="M58" s="14"/>
    </row>
    <row r="59" spans="1:13" x14ac:dyDescent="0.25">
      <c r="L59" s="20"/>
      <c r="M59" s="14"/>
    </row>
    <row r="60" spans="1:13" x14ac:dyDescent="0.25">
      <c r="L60" s="20"/>
      <c r="M60" s="14"/>
    </row>
    <row r="61" spans="1:13" x14ac:dyDescent="0.25">
      <c r="L61" s="20"/>
      <c r="M61" s="14"/>
    </row>
    <row r="62" spans="1:13" x14ac:dyDescent="0.25">
      <c r="L62" s="20"/>
      <c r="M62" s="14"/>
    </row>
    <row r="63" spans="1:13" ht="18" x14ac:dyDescent="0.35">
      <c r="A63" s="4" t="s">
        <v>83</v>
      </c>
      <c r="B63" s="5">
        <v>0.8</v>
      </c>
      <c r="C63" s="4" t="s">
        <v>79</v>
      </c>
      <c r="D63" s="5">
        <v>0.2</v>
      </c>
      <c r="E63" s="4" t="s">
        <v>80</v>
      </c>
      <c r="F63" s="5">
        <v>1.1399999999999999</v>
      </c>
      <c r="G63" s="4" t="s">
        <v>81</v>
      </c>
      <c r="H63" s="5">
        <v>0</v>
      </c>
      <c r="I63" s="4" t="s">
        <v>90</v>
      </c>
      <c r="J63" s="5">
        <v>0.01</v>
      </c>
      <c r="L63" s="20"/>
      <c r="M63" s="14"/>
    </row>
    <row r="64" spans="1:13" x14ac:dyDescent="0.25">
      <c r="A64" s="52" t="s">
        <v>82</v>
      </c>
      <c r="B64" s="116">
        <v>1.5</v>
      </c>
      <c r="C64" s="110">
        <v>2</v>
      </c>
      <c r="D64" s="110">
        <v>3</v>
      </c>
      <c r="E64" s="110">
        <v>4</v>
      </c>
      <c r="F64" s="110">
        <v>5</v>
      </c>
      <c r="G64" s="110">
        <v>6</v>
      </c>
      <c r="H64" s="110">
        <v>7</v>
      </c>
      <c r="I64" s="110">
        <v>8</v>
      </c>
      <c r="J64" s="110">
        <v>9</v>
      </c>
      <c r="K64" s="106">
        <v>10</v>
      </c>
      <c r="L64" s="20"/>
      <c r="M64" s="14"/>
    </row>
    <row r="65" spans="1:17" x14ac:dyDescent="0.25">
      <c r="A65" s="51" t="s">
        <v>18</v>
      </c>
      <c r="B65" s="117"/>
      <c r="C65" s="111"/>
      <c r="D65" s="111"/>
      <c r="E65" s="111"/>
      <c r="F65" s="111"/>
      <c r="G65" s="111"/>
      <c r="H65" s="111"/>
      <c r="I65" s="111"/>
      <c r="J65" s="111"/>
      <c r="K65" s="107"/>
      <c r="L65" s="20"/>
      <c r="M65" s="14"/>
    </row>
    <row r="66" spans="1:17" x14ac:dyDescent="0.25">
      <c r="A66" s="53">
        <v>0.5</v>
      </c>
      <c r="B66">
        <v>0.95761658158153296</v>
      </c>
      <c r="C66">
        <v>0.74924274813383818</v>
      </c>
      <c r="D66">
        <v>0.59757046401500702</v>
      </c>
      <c r="E66">
        <v>0.53057502955198288</v>
      </c>
      <c r="F66">
        <v>0.48277747118845582</v>
      </c>
      <c r="G66">
        <v>0.43922555632889271</v>
      </c>
      <c r="H66">
        <v>0.39601628668606281</v>
      </c>
      <c r="I66">
        <v>0.35271275555714965</v>
      </c>
      <c r="J66">
        <v>0.31006269855424762</v>
      </c>
      <c r="K66">
        <v>0.26910199667327106</v>
      </c>
      <c r="L66" s="20"/>
      <c r="M66" s="14"/>
    </row>
    <row r="67" spans="1:17" x14ac:dyDescent="0.25">
      <c r="A67" s="16">
        <v>0.46</v>
      </c>
      <c r="B67">
        <v>0.99476161412894726</v>
      </c>
      <c r="C67">
        <v>0.77349620405584574</v>
      </c>
      <c r="D67">
        <v>0.61148637905716896</v>
      </c>
      <c r="E67">
        <v>0.54103861330077052</v>
      </c>
      <c r="F67">
        <v>0.4931612522341311</v>
      </c>
      <c r="G67">
        <v>0.45162305468693376</v>
      </c>
      <c r="H67">
        <v>0.411608861759305</v>
      </c>
      <c r="I67">
        <v>0.37191356532275677</v>
      </c>
      <c r="J67">
        <v>0.33267089165747166</v>
      </c>
      <c r="K67">
        <v>0.29448716668412089</v>
      </c>
      <c r="L67" s="20"/>
      <c r="M67" s="14"/>
    </row>
    <row r="68" spans="1:17" x14ac:dyDescent="0.25">
      <c r="A68" s="16">
        <v>0.42</v>
      </c>
      <c r="B68">
        <v>1.0376973543316126</v>
      </c>
      <c r="C68">
        <v>0.80217118375003338</v>
      </c>
      <c r="D68">
        <v>0.62857477460056543</v>
      </c>
      <c r="E68">
        <v>0.55373744107782841</v>
      </c>
      <c r="F68">
        <v>0.50480637000873685</v>
      </c>
      <c r="G68">
        <v>0.46431433875113726</v>
      </c>
      <c r="H68">
        <v>0.42667383095249534</v>
      </c>
      <c r="I68">
        <v>0.39004501886665821</v>
      </c>
      <c r="J68">
        <v>0.35402714274823666</v>
      </c>
      <c r="K68">
        <v>0.31880690949037671</v>
      </c>
      <c r="L68" s="20"/>
      <c r="M68" s="14"/>
    </row>
    <row r="69" spans="1:17" x14ac:dyDescent="0.25">
      <c r="A69" s="16">
        <v>0.38</v>
      </c>
      <c r="B69">
        <v>1.0886751115322113</v>
      </c>
      <c r="C69">
        <v>0.83712134510278702</v>
      </c>
      <c r="D69">
        <v>0.65040921326726675</v>
      </c>
      <c r="E69">
        <v>0.57016212958842516</v>
      </c>
      <c r="F69">
        <v>0.51916114753112197</v>
      </c>
      <c r="G69">
        <v>0.47867201501503587</v>
      </c>
      <c r="H69">
        <v>0.44242569711059332</v>
      </c>
      <c r="I69">
        <v>0.40806265315040946</v>
      </c>
      <c r="J69">
        <v>0.37474224809557199</v>
      </c>
      <c r="K69">
        <v>0.34228325821459293</v>
      </c>
      <c r="L69" s="20"/>
      <c r="M69" s="14"/>
    </row>
    <row r="70" spans="1:17" x14ac:dyDescent="0.25">
      <c r="A70" s="16">
        <v>0.34</v>
      </c>
      <c r="B70">
        <v>1.1512332363054156</v>
      </c>
      <c r="C70">
        <v>0.88125765323638916</v>
      </c>
      <c r="D70">
        <v>0.67943288013339043</v>
      </c>
      <c r="E70">
        <v>0.59258539695292711</v>
      </c>
      <c r="F70">
        <v>0.53841413464397192</v>
      </c>
      <c r="G70">
        <v>0.49680591328069568</v>
      </c>
      <c r="H70">
        <v>0.46084419591352344</v>
      </c>
      <c r="I70">
        <v>0.4277325002476573</v>
      </c>
      <c r="J70">
        <v>0.39627591613680124</v>
      </c>
      <c r="K70">
        <v>0.36599161103367805</v>
      </c>
      <c r="L70" s="20"/>
      <c r="M70" s="14"/>
    </row>
    <row r="71" spans="1:17" x14ac:dyDescent="0.25">
      <c r="A71" s="16">
        <v>0.3</v>
      </c>
      <c r="B71">
        <v>1.2312448583543301</v>
      </c>
      <c r="C71">
        <v>0.93942722305655479</v>
      </c>
      <c r="D71">
        <v>0.7196859922260046</v>
      </c>
      <c r="E71">
        <v>0.62470876146107912</v>
      </c>
      <c r="F71">
        <v>0.56608150480315089</v>
      </c>
      <c r="G71">
        <v>0.52209456916898489</v>
      </c>
      <c r="H71">
        <v>0.48516156384721398</v>
      </c>
      <c r="I71">
        <v>0.45208954252302647</v>
      </c>
      <c r="J71">
        <v>0.42139043798670173</v>
      </c>
      <c r="K71">
        <v>0.39233991410583258</v>
      </c>
      <c r="L71" s="20"/>
      <c r="M71" s="14"/>
    </row>
    <row r="72" spans="1:17" x14ac:dyDescent="0.25">
      <c r="A72" s="16">
        <v>0.26</v>
      </c>
      <c r="B72">
        <v>1.3392011169344187</v>
      </c>
      <c r="C72">
        <v>1.0203385027125478</v>
      </c>
      <c r="D72">
        <v>0.77842106111347675</v>
      </c>
      <c r="E72">
        <v>0.67311676684767008</v>
      </c>
      <c r="F72">
        <v>0.60833604075014591</v>
      </c>
      <c r="G72">
        <v>0.56041100760921836</v>
      </c>
      <c r="H72">
        <v>0.52099196473136544</v>
      </c>
      <c r="I72">
        <v>0.48648363444954157</v>
      </c>
      <c r="J72">
        <v>0.45513329096138477</v>
      </c>
      <c r="K72">
        <v>0.4260149085894227</v>
      </c>
      <c r="L72" s="20"/>
      <c r="M72" s="14"/>
    </row>
    <row r="73" spans="1:17" x14ac:dyDescent="0.25">
      <c r="A73" s="16">
        <v>0.22</v>
      </c>
      <c r="B73">
        <v>1.4957576058804989</v>
      </c>
      <c r="C73">
        <v>1.1413221247494221</v>
      </c>
      <c r="D73">
        <v>0.87017468176782131</v>
      </c>
      <c r="E73">
        <v>0.75097605586051941</v>
      </c>
      <c r="F73">
        <v>0.67743323743343353</v>
      </c>
      <c r="G73">
        <v>0.62331086955964565</v>
      </c>
      <c r="H73">
        <v>0.57930294424295425</v>
      </c>
      <c r="I73">
        <v>0.54135115351527929</v>
      </c>
      <c r="J73">
        <v>0.50742781022563577</v>
      </c>
      <c r="K73">
        <v>0.47641658456996083</v>
      </c>
      <c r="L73" s="20"/>
      <c r="M73" s="14"/>
    </row>
    <row r="74" spans="1:17" x14ac:dyDescent="0.25">
      <c r="A74" s="16">
        <v>0.18</v>
      </c>
      <c r="B74">
        <v>1.7475907690823078</v>
      </c>
      <c r="C74">
        <v>1.3422438874840736</v>
      </c>
      <c r="D74">
        <v>1.0289666242897511</v>
      </c>
      <c r="E74">
        <v>0.88929953053593636</v>
      </c>
      <c r="F74">
        <v>0.80225681886076927</v>
      </c>
      <c r="G74">
        <v>0.73794946074485779</v>
      </c>
      <c r="H74">
        <v>0.68575534969568253</v>
      </c>
      <c r="I74">
        <v>0.64101191237568855</v>
      </c>
      <c r="J74">
        <v>0.60135789681226015</v>
      </c>
      <c r="K74">
        <v>0.56546480627730489</v>
      </c>
      <c r="L74" s="20"/>
      <c r="M74" s="14"/>
    </row>
    <row r="75" spans="1:17" x14ac:dyDescent="0.25">
      <c r="A75" s="16">
        <v>0.14000000000000001</v>
      </c>
      <c r="B75">
        <v>2.2244640626013279</v>
      </c>
      <c r="C75">
        <v>1.7374120652675629</v>
      </c>
      <c r="D75">
        <v>1.3557147234678268</v>
      </c>
      <c r="E75">
        <v>1.1817963793873787</v>
      </c>
      <c r="F75">
        <v>1.0710453847423196</v>
      </c>
      <c r="G75">
        <v>0.98782971035689116</v>
      </c>
      <c r="H75">
        <v>0.91954437084496021</v>
      </c>
      <c r="I75">
        <v>0.86066422518342733</v>
      </c>
      <c r="J75">
        <v>0.80837812274694443</v>
      </c>
      <c r="K75">
        <v>0.76108581852167845</v>
      </c>
      <c r="L75" s="20"/>
      <c r="M75" s="14"/>
    </row>
    <row r="76" spans="1:17" x14ac:dyDescent="0.25">
      <c r="A76" s="9">
        <v>0.1</v>
      </c>
      <c r="B76">
        <v>3.4349109046161175</v>
      </c>
      <c r="C76">
        <v>2.8024954721331596</v>
      </c>
      <c r="D76">
        <v>2.30082250200212</v>
      </c>
      <c r="E76">
        <v>2.0650747697800398</v>
      </c>
      <c r="F76">
        <v>1.9077073317021132</v>
      </c>
      <c r="G76">
        <v>1.7836770974099636</v>
      </c>
      <c r="H76">
        <v>1.6776799689978361</v>
      </c>
      <c r="I76">
        <v>1.5832868870347738</v>
      </c>
      <c r="J76">
        <v>1.4973399695008993</v>
      </c>
      <c r="K76">
        <v>1.4180788770318031</v>
      </c>
      <c r="L76" s="20"/>
      <c r="M76" s="14"/>
    </row>
    <row r="77" spans="1:17" x14ac:dyDescent="0.25">
      <c r="L77" s="20"/>
      <c r="M77" s="14"/>
    </row>
    <row r="78" spans="1:17" x14ac:dyDescent="0.25">
      <c r="L78" s="20"/>
      <c r="M78" s="14"/>
    </row>
    <row r="79" spans="1:17" x14ac:dyDescent="0.25">
      <c r="L79" s="20"/>
      <c r="M79" s="14"/>
    </row>
    <row r="80" spans="1:17" ht="15.75" x14ac:dyDescent="0.25">
      <c r="L80" s="20"/>
      <c r="M80" s="14"/>
      <c r="Q80" s="73" t="s">
        <v>114</v>
      </c>
    </row>
    <row r="81" spans="12:13" x14ac:dyDescent="0.25">
      <c r="L81" s="20"/>
      <c r="M81" s="14"/>
    </row>
    <row r="82" spans="12:13" x14ac:dyDescent="0.25">
      <c r="L82" s="20"/>
      <c r="M82" s="14"/>
    </row>
    <row r="83" spans="12:13" x14ac:dyDescent="0.25">
      <c r="L83" s="20"/>
      <c r="M83" s="14"/>
    </row>
    <row r="84" spans="12:13" x14ac:dyDescent="0.25">
      <c r="L84" s="20"/>
      <c r="M84" s="14"/>
    </row>
    <row r="85" spans="12:13" x14ac:dyDescent="0.25">
      <c r="L85" s="20"/>
      <c r="M85" s="14"/>
    </row>
    <row r="86" spans="12:13" x14ac:dyDescent="0.25">
      <c r="L86" s="20"/>
      <c r="M86" s="14"/>
    </row>
    <row r="87" spans="12:13" x14ac:dyDescent="0.25">
      <c r="L87" s="20"/>
      <c r="M87" s="14"/>
    </row>
    <row r="88" spans="12:13" x14ac:dyDescent="0.25">
      <c r="M88" s="14"/>
    </row>
    <row r="89" spans="12:13" x14ac:dyDescent="0.25">
      <c r="M89" s="14"/>
    </row>
    <row r="90" spans="12:13" x14ac:dyDescent="0.25">
      <c r="M90" s="14"/>
    </row>
    <row r="91" spans="12:13" x14ac:dyDescent="0.25">
      <c r="M91" s="14"/>
    </row>
    <row r="92" spans="12:13" x14ac:dyDescent="0.25">
      <c r="M92" s="14"/>
    </row>
    <row r="93" spans="12:13" x14ac:dyDescent="0.25">
      <c r="M93" s="14"/>
    </row>
    <row r="94" spans="12:13" x14ac:dyDescent="0.25">
      <c r="M94" s="14"/>
    </row>
    <row r="95" spans="12:13" x14ac:dyDescent="0.25">
      <c r="M95" s="14"/>
    </row>
    <row r="96" spans="12:13" x14ac:dyDescent="0.25">
      <c r="M96" s="14"/>
    </row>
    <row r="97" spans="13:24" x14ac:dyDescent="0.25">
      <c r="M97" s="14"/>
    </row>
    <row r="98" spans="13:24" x14ac:dyDescent="0.25">
      <c r="M98" s="14"/>
    </row>
    <row r="99" spans="13:24" x14ac:dyDescent="0.25">
      <c r="M99" s="14"/>
    </row>
    <row r="100" spans="13:24" ht="15.75" x14ac:dyDescent="0.25">
      <c r="M100" s="14"/>
      <c r="Q100" s="73"/>
      <c r="X100" t="s">
        <v>115</v>
      </c>
    </row>
    <row r="101" spans="13:24" x14ac:dyDescent="0.25">
      <c r="M101" s="14"/>
    </row>
    <row r="106" spans="13:24" x14ac:dyDescent="0.25">
      <c r="Q106" s="59" t="s">
        <v>104</v>
      </c>
      <c r="R106" s="59" t="s">
        <v>105</v>
      </c>
    </row>
    <row r="107" spans="13:24" x14ac:dyDescent="0.25">
      <c r="Q107" s="24" t="s">
        <v>93</v>
      </c>
      <c r="R107" s="24" t="s">
        <v>99</v>
      </c>
      <c r="S107" s="24" t="s">
        <v>94</v>
      </c>
      <c r="T107" s="24" t="s">
        <v>100</v>
      </c>
      <c r="U107" s="24" t="s">
        <v>101</v>
      </c>
    </row>
    <row r="108" spans="13:24" x14ac:dyDescent="0.25">
      <c r="Q108" s="61">
        <v>3.1736562252044678</v>
      </c>
      <c r="R108" s="61">
        <v>2.608414888381958</v>
      </c>
      <c r="S108" s="61">
        <v>2.0517332553863525</v>
      </c>
      <c r="T108" s="61">
        <v>1.5056076049804687</v>
      </c>
      <c r="U108" s="61">
        <v>0.97335851192474365</v>
      </c>
    </row>
    <row r="109" spans="13:24" x14ac:dyDescent="0.25">
      <c r="Q109" s="61">
        <v>2.6883058547973633</v>
      </c>
      <c r="R109" s="61">
        <v>2.2127647399902344</v>
      </c>
      <c r="S109" s="61">
        <v>1.7436627149581909</v>
      </c>
      <c r="T109" s="61">
        <v>1.2825163602828979</v>
      </c>
      <c r="U109" s="61">
        <v>0.83185327053070068</v>
      </c>
    </row>
    <row r="110" spans="13:24" x14ac:dyDescent="0.25">
      <c r="Q110" s="61">
        <v>2.3596391677856445</v>
      </c>
      <c r="R110" s="61">
        <v>1.9451000690460205</v>
      </c>
      <c r="S110" s="61">
        <v>1.5355085134506226</v>
      </c>
      <c r="T110" s="61">
        <v>1.1320409774780273</v>
      </c>
      <c r="U110" s="61">
        <v>0.73666292428970337</v>
      </c>
    </row>
    <row r="111" spans="13:24" x14ac:dyDescent="0.25">
      <c r="Q111" s="61">
        <v>2.116206169128418</v>
      </c>
      <c r="R111" s="61">
        <v>1.7470049858093262</v>
      </c>
      <c r="S111" s="61">
        <v>1.3816163539886475</v>
      </c>
      <c r="T111" s="61">
        <v>1.0209556818008423</v>
      </c>
      <c r="U111" s="61">
        <v>0.66655558347702026</v>
      </c>
    </row>
    <row r="112" spans="13:24" x14ac:dyDescent="0.25">
      <c r="Q112" s="61">
        <v>1.9254862070083618</v>
      </c>
      <c r="R112" s="61">
        <v>1.5919021368026733</v>
      </c>
      <c r="S112" s="61">
        <v>1.2612253427505493</v>
      </c>
      <c r="T112" s="61">
        <v>0.93416082859039307</v>
      </c>
      <c r="U112" s="61">
        <v>0.61189079284667969</v>
      </c>
    </row>
    <row r="113" spans="15:21" x14ac:dyDescent="0.25">
      <c r="Q113" s="61">
        <v>1.7701680660247803</v>
      </c>
      <c r="R113" s="61">
        <v>1.4656498432159424</v>
      </c>
      <c r="S113" s="61">
        <v>1.1632943153381348</v>
      </c>
      <c r="T113" s="61">
        <v>0.86363065242767334</v>
      </c>
      <c r="U113" s="61">
        <v>0.56754869222640991</v>
      </c>
    </row>
    <row r="114" spans="15:21" x14ac:dyDescent="0.25">
      <c r="Q114" s="61">
        <v>1.640036940574646</v>
      </c>
      <c r="R114" s="61">
        <v>1.359906792640686</v>
      </c>
      <c r="S114" s="61">
        <v>1.0813132524490356</v>
      </c>
      <c r="T114" s="61">
        <v>0.80463606119155884</v>
      </c>
      <c r="U114" s="61">
        <v>0.53051465749740601</v>
      </c>
    </row>
    <row r="115" spans="15:21" x14ac:dyDescent="0.25">
      <c r="Q115" s="61">
        <v>1.5286073684692383</v>
      </c>
      <c r="R115" s="61">
        <v>1.2693787813186646</v>
      </c>
      <c r="S115" s="61">
        <v>1.0111526250839233</v>
      </c>
      <c r="T115" s="61">
        <v>0.75417846441268921</v>
      </c>
      <c r="U115" s="61">
        <v>0.4988785982131958</v>
      </c>
    </row>
    <row r="116" spans="15:21" x14ac:dyDescent="0.25">
      <c r="Q116" s="61">
        <v>1.4315282106399536</v>
      </c>
      <c r="R116" s="61">
        <v>1.1905152797698975</v>
      </c>
      <c r="S116" s="61">
        <v>0.9500434398651123</v>
      </c>
      <c r="T116" s="61">
        <v>0.71024864912033081</v>
      </c>
      <c r="U116" s="61">
        <v>0.47136133909225464</v>
      </c>
    </row>
    <row r="117" spans="15:21" x14ac:dyDescent="0.25">
      <c r="Q117" s="64">
        <v>1.3457516431808472</v>
      </c>
      <c r="R117" s="64">
        <v>1.1208300590515137</v>
      </c>
      <c r="S117" s="64">
        <v>0.89604806900024414</v>
      </c>
      <c r="T117" s="64">
        <v>0.67144083976745605</v>
      </c>
      <c r="U117" s="64">
        <v>0.44706857204437256</v>
      </c>
    </row>
    <row r="118" spans="15:21" x14ac:dyDescent="0.25">
      <c r="O118" s="58" t="s">
        <v>31</v>
      </c>
      <c r="Q118" s="61">
        <v>1.2690688371658325</v>
      </c>
      <c r="R118" s="61">
        <v>1.0585218667984009</v>
      </c>
      <c r="S118" s="61">
        <v>0.8477628231048584</v>
      </c>
      <c r="T118" s="61">
        <v>0.63673734664916992</v>
      </c>
      <c r="U118" s="61">
        <v>0.42535302042961121</v>
      </c>
    </row>
  </sheetData>
  <mergeCells count="10">
    <mergeCell ref="B64:B65"/>
    <mergeCell ref="C64:C65"/>
    <mergeCell ref="D64:D65"/>
    <mergeCell ref="E64:E65"/>
    <mergeCell ref="F64:F65"/>
    <mergeCell ref="G64:G65"/>
    <mergeCell ref="H64:H65"/>
    <mergeCell ref="I64:I65"/>
    <mergeCell ref="J64:J65"/>
    <mergeCell ref="K64:K65"/>
  </mergeCells>
  <pageMargins left="0.7" right="0.7" top="0.75" bottom="0.75" header="0.3" footer="0.3"/>
  <pageSetup orientation="landscape" r:id="rId1"/>
  <drawing r:id="rId2"/>
  <legacyDrawing r:id="rId3"/>
  <oleObjects>
    <mc:AlternateContent xmlns:mc="http://schemas.openxmlformats.org/markup-compatibility/2006">
      <mc:Choice Requires="x14">
        <oleObject progId="Equation.3" shapeId="2043912" r:id="rId4">
          <objectPr defaultSize="0" autoPict="0" r:id="rId5">
            <anchor moveWithCells="1" sizeWithCells="1">
              <from>
                <xdr:col>0</xdr:col>
                <xdr:colOff>66675</xdr:colOff>
                <xdr:row>15</xdr:row>
                <xdr:rowOff>9525</xdr:rowOff>
              </from>
              <to>
                <xdr:col>2</xdr:col>
                <xdr:colOff>457200</xdr:colOff>
                <xdr:row>18</xdr:row>
                <xdr:rowOff>47625</xdr:rowOff>
              </to>
            </anchor>
          </objectPr>
        </oleObject>
      </mc:Choice>
      <mc:Fallback>
        <oleObject progId="Equation.3" shapeId="2043912" r:id="rId4"/>
      </mc:Fallback>
    </mc:AlternateContent>
    <mc:AlternateContent xmlns:mc="http://schemas.openxmlformats.org/markup-compatibility/2006">
      <mc:Choice Requires="x14">
        <oleObject progId="Equation.3" shapeId="2043915" r:id="rId6">
          <objectPr defaultSize="0" autoPict="0" r:id="rId7">
            <anchor moveWithCells="1" sizeWithCells="1">
              <from>
                <xdr:col>3</xdr:col>
                <xdr:colOff>304800</xdr:colOff>
                <xdr:row>14</xdr:row>
                <xdr:rowOff>171450</xdr:rowOff>
              </from>
              <to>
                <xdr:col>6</xdr:col>
                <xdr:colOff>314325</xdr:colOff>
                <xdr:row>17</xdr:row>
                <xdr:rowOff>95250</xdr:rowOff>
              </to>
            </anchor>
          </objectPr>
        </oleObject>
      </mc:Choice>
      <mc:Fallback>
        <oleObject progId="Equation.3" shapeId="2043915" r:id="rId6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3916" r:id="rId8" name="Button 12">
              <controlPr defaultSize="0" print="0" autoFill="0" autoPict="0" macro="[0]!Sheet4.secGenLamb">
                <anchor moveWithCells="1" sizeWithCells="1">
                  <from>
                    <xdr:col>11</xdr:col>
                    <xdr:colOff>285750</xdr:colOff>
                    <xdr:row>62</xdr:row>
                    <xdr:rowOff>200025</xdr:rowOff>
                  </from>
                  <to>
                    <xdr:col>12</xdr:col>
                    <xdr:colOff>485775</xdr:colOff>
                    <xdr:row>64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L43"/>
  <sheetViews>
    <sheetView topLeftCell="A22" workbookViewId="0">
      <selection activeCell="G33" sqref="G33:L43"/>
    </sheetView>
  </sheetViews>
  <sheetFormatPr defaultRowHeight="15" x14ac:dyDescent="0.25"/>
  <cols>
    <col min="1" max="1" width="19.140625" bestFit="1" customWidth="1"/>
    <col min="2" max="5" width="12" bestFit="1" customWidth="1"/>
    <col min="7" max="7" width="11.140625" bestFit="1" customWidth="1"/>
    <col min="8" max="8" width="12.140625" bestFit="1" customWidth="1"/>
    <col min="9" max="9" width="11.140625" bestFit="1" customWidth="1"/>
    <col min="10" max="10" width="12.140625" bestFit="1" customWidth="1"/>
    <col min="11" max="11" width="11.140625" bestFit="1" customWidth="1"/>
    <col min="12" max="12" width="12.140625" bestFit="1" customWidth="1"/>
  </cols>
  <sheetData>
    <row r="1" spans="1:12" x14ac:dyDescent="0.25">
      <c r="A1" s="1" t="s">
        <v>102</v>
      </c>
      <c r="E1" t="s">
        <v>118</v>
      </c>
    </row>
    <row r="2" spans="1:12" x14ac:dyDescent="0.25">
      <c r="A2" t="s">
        <v>103</v>
      </c>
      <c r="G2" t="s">
        <v>117</v>
      </c>
    </row>
    <row r="3" spans="1:12" x14ac:dyDescent="0.25">
      <c r="A3" s="2" t="s">
        <v>104</v>
      </c>
      <c r="B3" s="2" t="s">
        <v>105</v>
      </c>
      <c r="G3" s="2" t="s">
        <v>104</v>
      </c>
      <c r="H3" s="2" t="s">
        <v>94</v>
      </c>
    </row>
    <row r="4" spans="1:12" x14ac:dyDescent="0.25">
      <c r="A4" s="24" t="s">
        <v>93</v>
      </c>
      <c r="B4" s="24" t="s">
        <v>99</v>
      </c>
      <c r="C4" s="24" t="s">
        <v>94</v>
      </c>
      <c r="D4" s="24" t="s">
        <v>100</v>
      </c>
      <c r="E4" s="24" t="s">
        <v>101</v>
      </c>
      <c r="G4" s="24" t="s">
        <v>95</v>
      </c>
      <c r="H4" s="24" t="s">
        <v>110</v>
      </c>
      <c r="I4" s="24" t="s">
        <v>96</v>
      </c>
      <c r="J4" s="24" t="s">
        <v>111</v>
      </c>
      <c r="K4" s="24" t="s">
        <v>97</v>
      </c>
      <c r="L4" s="24" t="s">
        <v>112</v>
      </c>
    </row>
    <row r="5" spans="1:12" x14ac:dyDescent="0.25">
      <c r="A5" s="61">
        <v>3.1736562252044678</v>
      </c>
      <c r="B5" s="61">
        <v>2.608414888381958</v>
      </c>
      <c r="C5" s="61">
        <v>2.0517332553863525</v>
      </c>
      <c r="D5" s="61">
        <v>1.5056076049804687</v>
      </c>
      <c r="E5" s="61">
        <v>0.97335851192474365</v>
      </c>
      <c r="G5" s="61">
        <v>2.8533120155334473</v>
      </c>
      <c r="H5" s="61">
        <v>2.3943336009979248</v>
      </c>
      <c r="I5" s="61">
        <v>2.0517332553863525</v>
      </c>
      <c r="J5" s="61">
        <v>1.7913907766342163</v>
      </c>
      <c r="K5" s="61">
        <v>1.5907732248306274</v>
      </c>
      <c r="L5" s="61">
        <v>1.4346076250076294</v>
      </c>
    </row>
    <row r="6" spans="1:12" x14ac:dyDescent="0.25">
      <c r="A6" s="61">
        <v>2.6883058547973633</v>
      </c>
      <c r="B6" s="61">
        <v>2.2127647399902344</v>
      </c>
      <c r="C6" s="61">
        <v>1.7436627149581909</v>
      </c>
      <c r="D6" s="61">
        <v>1.2825163602828979</v>
      </c>
      <c r="E6" s="61">
        <v>0.83185327053070068</v>
      </c>
      <c r="G6" s="61">
        <v>2.4248833656311035</v>
      </c>
      <c r="H6" s="61">
        <v>2.0348210334777832</v>
      </c>
      <c r="I6" s="61">
        <v>1.7436627149581909</v>
      </c>
      <c r="J6" s="61">
        <v>1.5224111080169678</v>
      </c>
      <c r="K6" s="61">
        <v>1.3519165515899658</v>
      </c>
      <c r="L6" s="61">
        <v>1.2191992998123169</v>
      </c>
    </row>
    <row r="7" spans="1:12" x14ac:dyDescent="0.25">
      <c r="A7" s="61">
        <v>2.3596391677856445</v>
      </c>
      <c r="B7" s="61">
        <v>1.9451000690460205</v>
      </c>
      <c r="C7" s="61">
        <v>1.5355085134506226</v>
      </c>
      <c r="D7" s="61">
        <v>1.1320409774780273</v>
      </c>
      <c r="E7" s="61">
        <v>0.73666292428970337</v>
      </c>
      <c r="G7" s="61">
        <v>2.1354067325592041</v>
      </c>
      <c r="H7" s="61">
        <v>1.7919090986251831</v>
      </c>
      <c r="I7" s="61">
        <v>1.5355085134506226</v>
      </c>
      <c r="J7" s="61">
        <v>1.3406693935394287</v>
      </c>
      <c r="K7" s="61">
        <v>1.1905280351638794</v>
      </c>
      <c r="L7" s="61">
        <v>1.0736542940139771</v>
      </c>
    </row>
    <row r="8" spans="1:12" x14ac:dyDescent="0.25">
      <c r="A8" s="61">
        <v>2.116206169128418</v>
      </c>
      <c r="B8" s="61">
        <v>1.7470049858093262</v>
      </c>
      <c r="C8" s="61">
        <v>1.3816163539886475</v>
      </c>
      <c r="D8" s="61">
        <v>1.0209556818008423</v>
      </c>
      <c r="E8" s="61">
        <v>0.66655558347702026</v>
      </c>
      <c r="G8" s="61">
        <v>1.9213913679122925</v>
      </c>
      <c r="H8" s="61">
        <v>1.6123198270797729</v>
      </c>
      <c r="I8" s="61">
        <v>1.3816163539886475</v>
      </c>
      <c r="J8" s="61">
        <v>1.2063043117523193</v>
      </c>
      <c r="K8" s="61">
        <v>1.0712106227874756</v>
      </c>
      <c r="L8" s="61">
        <v>0.96605020761489868</v>
      </c>
    </row>
    <row r="9" spans="1:12" x14ac:dyDescent="0.25">
      <c r="A9" s="61">
        <v>1.9254862070083618</v>
      </c>
      <c r="B9" s="61">
        <v>1.5919021368026733</v>
      </c>
      <c r="C9" s="61">
        <v>1.2612253427505493</v>
      </c>
      <c r="D9" s="61">
        <v>0.93416082859039307</v>
      </c>
      <c r="E9" s="61">
        <v>0.61189079284667969</v>
      </c>
      <c r="G9" s="61">
        <v>1.7539656162261963</v>
      </c>
      <c r="H9" s="61">
        <v>1.4718259572982788</v>
      </c>
      <c r="I9" s="61">
        <v>1.2612253427505493</v>
      </c>
      <c r="J9" s="61">
        <v>1.1011897325515747</v>
      </c>
      <c r="K9" s="61">
        <v>0.97786766290664673</v>
      </c>
      <c r="L9" s="61">
        <v>0.88187074661254883</v>
      </c>
    </row>
    <row r="10" spans="1:12" x14ac:dyDescent="0.25">
      <c r="A10" s="61">
        <v>1.7701680660247803</v>
      </c>
      <c r="B10" s="61">
        <v>1.4656498432159424</v>
      </c>
      <c r="C10" s="61">
        <v>1.1632943153381348</v>
      </c>
      <c r="D10" s="61">
        <v>0.86363065242767334</v>
      </c>
      <c r="E10" s="61">
        <v>0.56754869222640991</v>
      </c>
      <c r="G10" s="61">
        <v>1.6177743673324585</v>
      </c>
      <c r="H10" s="61">
        <v>1.3575421571731567</v>
      </c>
      <c r="I10" s="61">
        <v>1.1632943153381348</v>
      </c>
      <c r="J10" s="61">
        <v>1.015684962272644</v>
      </c>
      <c r="K10" s="61">
        <v>0.90193861722946167</v>
      </c>
      <c r="L10" s="61">
        <v>0.81339561939239502</v>
      </c>
    </row>
    <row r="11" spans="1:12" x14ac:dyDescent="0.25">
      <c r="A11" s="61">
        <v>1.640036940574646</v>
      </c>
      <c r="B11" s="61">
        <v>1.359906792640686</v>
      </c>
      <c r="C11" s="61">
        <v>1.0813132524490356</v>
      </c>
      <c r="D11" s="61">
        <v>0.80463606119155884</v>
      </c>
      <c r="E11" s="61">
        <v>0.53051465749740601</v>
      </c>
      <c r="G11" s="61">
        <v>1.5037647485733032</v>
      </c>
      <c r="H11" s="61">
        <v>1.2618719339370728</v>
      </c>
      <c r="I11" s="61">
        <v>1.0813132524490356</v>
      </c>
      <c r="J11" s="61">
        <v>0.94410645961761475</v>
      </c>
      <c r="K11" s="61">
        <v>0.83837616443634033</v>
      </c>
      <c r="L11" s="61">
        <v>0.75607305765151978</v>
      </c>
    </row>
    <row r="12" spans="1:12" x14ac:dyDescent="0.25">
      <c r="A12" s="61">
        <v>1.5286073684692383</v>
      </c>
      <c r="B12" s="61">
        <v>1.2693787813186646</v>
      </c>
      <c r="C12" s="61">
        <v>1.0111526250839233</v>
      </c>
      <c r="D12" s="61">
        <v>0.75417846441268921</v>
      </c>
      <c r="E12" s="61">
        <v>0.4988785982131958</v>
      </c>
      <c r="G12" s="61">
        <v>1.4061933755874634</v>
      </c>
      <c r="H12" s="61">
        <v>1.1799957752227783</v>
      </c>
      <c r="I12" s="61">
        <v>1.0111526250839233</v>
      </c>
      <c r="J12" s="61">
        <v>0.88284838199615479</v>
      </c>
      <c r="K12" s="61">
        <v>0.78397834300994873</v>
      </c>
      <c r="L12" s="61">
        <v>0.70701545476913452</v>
      </c>
    </row>
    <row r="13" spans="1:12" x14ac:dyDescent="0.25">
      <c r="A13" s="61">
        <v>1.4315282106399536</v>
      </c>
      <c r="B13" s="61">
        <v>1.1905152797698975</v>
      </c>
      <c r="C13" s="61">
        <v>0.9500434398651123</v>
      </c>
      <c r="D13" s="61">
        <v>0.71024864912033081</v>
      </c>
      <c r="E13" s="61">
        <v>0.47136133909225464</v>
      </c>
      <c r="G13" s="61">
        <v>1.3212099075317383</v>
      </c>
      <c r="H13" s="61">
        <v>1.1086825132369995</v>
      </c>
      <c r="I13" s="61">
        <v>0.9500434398651123</v>
      </c>
      <c r="J13" s="61">
        <v>0.82949334383010864</v>
      </c>
      <c r="K13" s="61">
        <v>0.73659855127334595</v>
      </c>
      <c r="L13" s="61">
        <v>0.66428691148757935</v>
      </c>
    </row>
    <row r="14" spans="1:12" x14ac:dyDescent="0.25">
      <c r="A14" s="64">
        <v>1.3457516431808472</v>
      </c>
      <c r="B14" s="64">
        <v>1.1208300590515137</v>
      </c>
      <c r="C14" s="64">
        <v>0.89604806900024414</v>
      </c>
      <c r="D14" s="64">
        <v>0.67144083976745605</v>
      </c>
      <c r="E14" s="64">
        <v>0.44706857204437256</v>
      </c>
      <c r="G14" s="63">
        <v>1.2461193799972534</v>
      </c>
      <c r="H14" s="63">
        <v>1.0456709861755371</v>
      </c>
      <c r="I14" s="63">
        <v>0.89604806900024414</v>
      </c>
      <c r="J14" s="63">
        <v>0.7823493480682373</v>
      </c>
      <c r="K14" s="63">
        <v>0.69473421573638916</v>
      </c>
      <c r="L14" s="63">
        <v>0.62653237581253052</v>
      </c>
    </row>
    <row r="15" spans="1:12" x14ac:dyDescent="0.25">
      <c r="A15" s="61">
        <v>1.2690688371658325</v>
      </c>
      <c r="B15" s="61">
        <v>1.0585218667984009</v>
      </c>
      <c r="C15" s="61">
        <v>0.8477628231048584</v>
      </c>
      <c r="D15" s="61">
        <v>0.63673734664916992</v>
      </c>
      <c r="E15" s="61">
        <v>0.42535302042961121</v>
      </c>
      <c r="G15" s="61">
        <v>1.1789699792861938</v>
      </c>
      <c r="H15" s="61">
        <v>0.98932301998138428</v>
      </c>
      <c r="I15" s="61">
        <v>0.8477628231048584</v>
      </c>
      <c r="J15" s="61">
        <v>0.74019098281860352</v>
      </c>
      <c r="K15" s="61">
        <v>0.65729713439941406</v>
      </c>
      <c r="L15" s="61">
        <v>0.59277051687240601</v>
      </c>
    </row>
    <row r="17" spans="1:12" x14ac:dyDescent="0.25">
      <c r="A17" t="s">
        <v>106</v>
      </c>
      <c r="B17" t="s">
        <v>105</v>
      </c>
      <c r="G17" t="s">
        <v>106</v>
      </c>
      <c r="H17" t="s">
        <v>94</v>
      </c>
    </row>
    <row r="18" spans="1:12" x14ac:dyDescent="0.25">
      <c r="A18" s="24" t="s">
        <v>93</v>
      </c>
      <c r="B18" s="24" t="s">
        <v>99</v>
      </c>
      <c r="C18" s="24" t="s">
        <v>94</v>
      </c>
      <c r="D18" s="24" t="s">
        <v>100</v>
      </c>
      <c r="E18" s="24" t="s">
        <v>101</v>
      </c>
      <c r="G18" s="24" t="s">
        <v>95</v>
      </c>
      <c r="H18" s="24" t="s">
        <v>110</v>
      </c>
      <c r="I18" s="24" t="s">
        <v>96</v>
      </c>
      <c r="J18" s="24" t="s">
        <v>111</v>
      </c>
      <c r="K18" s="24" t="s">
        <v>97</v>
      </c>
      <c r="L18" s="24" t="s">
        <v>112</v>
      </c>
    </row>
    <row r="19" spans="1:12" x14ac:dyDescent="0.25">
      <c r="A19" s="61">
        <v>2.246570348739624</v>
      </c>
      <c r="B19" s="61">
        <v>1.8566756248474121</v>
      </c>
      <c r="C19" s="61">
        <v>1.4703360795974731</v>
      </c>
      <c r="D19" s="61">
        <v>1.0884116888046265</v>
      </c>
      <c r="E19" s="61">
        <v>0.71234399080276489</v>
      </c>
      <c r="G19" s="61">
        <v>2.0447723865509033</v>
      </c>
      <c r="H19" s="61">
        <v>1.7158541679382324</v>
      </c>
      <c r="I19" s="61">
        <v>1.4703360795974731</v>
      </c>
      <c r="J19" s="61">
        <v>1.283766508102417</v>
      </c>
      <c r="K19" s="61">
        <v>1.1399978399276733</v>
      </c>
      <c r="L19" s="61">
        <v>1.0280846357345581</v>
      </c>
    </row>
    <row r="20" spans="1:12" x14ac:dyDescent="0.25">
      <c r="A20" s="61">
        <v>1.8661229610443115</v>
      </c>
      <c r="B20" s="61">
        <v>1.5479456186294556</v>
      </c>
      <c r="C20" s="61">
        <v>1.2313851118087769</v>
      </c>
      <c r="D20" s="61">
        <v>0.91684138774871826</v>
      </c>
      <c r="E20" s="61">
        <v>0.60498946905136108</v>
      </c>
      <c r="G20" s="61">
        <v>1.7124671936035156</v>
      </c>
      <c r="H20" s="61">
        <v>1.4370028972625732</v>
      </c>
      <c r="I20" s="61">
        <v>1.2313851118087769</v>
      </c>
      <c r="J20" s="61">
        <v>1.0751358270645142</v>
      </c>
      <c r="K20" s="61">
        <v>0.9547315239906311</v>
      </c>
      <c r="L20" s="61">
        <v>0.86100584268569946</v>
      </c>
    </row>
    <row r="21" spans="1:12" x14ac:dyDescent="0.25">
      <c r="A21" s="61">
        <v>1.6081315279006958</v>
      </c>
      <c r="B21" s="61">
        <v>1.3388639688491821</v>
      </c>
      <c r="C21" s="61">
        <v>1.0698729753494263</v>
      </c>
      <c r="D21" s="61">
        <v>0.80122834444046021</v>
      </c>
      <c r="E21" s="61">
        <v>0.53304880857467651</v>
      </c>
      <c r="G21" s="61">
        <v>1.4878549575805664</v>
      </c>
      <c r="H21" s="61">
        <v>1.2485213279724121</v>
      </c>
      <c r="I21" s="61">
        <v>1.0698729753494263</v>
      </c>
      <c r="J21" s="61">
        <v>0.93411779403686523</v>
      </c>
      <c r="K21" s="61">
        <v>0.82950615882873535</v>
      </c>
      <c r="L21" s="61">
        <v>0.74807381629943848</v>
      </c>
    </row>
    <row r="22" spans="1:12" x14ac:dyDescent="0.25">
      <c r="A22" s="61">
        <v>1.416169285774231</v>
      </c>
      <c r="B22" s="61">
        <v>1.1833945512771606</v>
      </c>
      <c r="C22" s="61">
        <v>0.94991093873977661</v>
      </c>
      <c r="D22" s="61">
        <v>0.7155347466468811</v>
      </c>
      <c r="E22" s="61">
        <v>0.47995269298553467</v>
      </c>
      <c r="G22" s="61">
        <v>1.3210256099700928</v>
      </c>
      <c r="H22" s="61">
        <v>1.1085278987884521</v>
      </c>
      <c r="I22" s="61">
        <v>0.94991093873977661</v>
      </c>
      <c r="J22" s="61">
        <v>0.82937765121459961</v>
      </c>
      <c r="K22" s="61">
        <v>0.73649579286575317</v>
      </c>
      <c r="L22" s="61">
        <v>0.66419422626495361</v>
      </c>
    </row>
    <row r="23" spans="1:12" x14ac:dyDescent="0.25">
      <c r="A23" s="61">
        <v>1.2646492719650269</v>
      </c>
      <c r="B23" s="61">
        <v>1.0606788396835327</v>
      </c>
      <c r="C23" s="61">
        <v>0.85525345802307129</v>
      </c>
      <c r="D23" s="61">
        <v>0.6479872465133667</v>
      </c>
      <c r="E23" s="61">
        <v>0.43821898102760315</v>
      </c>
      <c r="G23" s="61">
        <v>1.1893870830535889</v>
      </c>
      <c r="H23" s="61">
        <v>0.99806445837020874</v>
      </c>
      <c r="I23" s="61">
        <v>0.85525345802307129</v>
      </c>
      <c r="J23" s="61">
        <v>0.74673116207122803</v>
      </c>
      <c r="K23" s="61">
        <v>0.66310489177703857</v>
      </c>
      <c r="L23" s="61">
        <v>0.59800809621810913</v>
      </c>
    </row>
    <row r="24" spans="1:12" x14ac:dyDescent="0.25">
      <c r="A24" s="65">
        <v>1.1399972438812256</v>
      </c>
      <c r="B24" s="65">
        <v>0.9596593976020813</v>
      </c>
      <c r="C24" s="65">
        <v>0.77729451656341553</v>
      </c>
      <c r="D24" s="65">
        <v>0.59235352277755737</v>
      </c>
      <c r="E24" s="65">
        <v>0.40388971567153931</v>
      </c>
      <c r="G24" s="65">
        <v>1.0809708833694458</v>
      </c>
      <c r="H24" s="65">
        <v>0.90708786249160767</v>
      </c>
      <c r="I24" s="65">
        <v>0.77729451656341553</v>
      </c>
      <c r="J24" s="65">
        <v>0.67866438627243042</v>
      </c>
      <c r="K24" s="65">
        <v>0.6026608943939209</v>
      </c>
      <c r="L24" s="65">
        <v>0.54349786043167114</v>
      </c>
    </row>
    <row r="25" spans="1:12" x14ac:dyDescent="0.25">
      <c r="A25" s="61">
        <v>1.0342284440994263</v>
      </c>
      <c r="B25" s="61">
        <v>0.87383460998535156</v>
      </c>
      <c r="C25" s="61">
        <v>0.71097660064697266</v>
      </c>
      <c r="D25" s="61">
        <v>0.54497230052947998</v>
      </c>
      <c r="E25" s="61">
        <v>0.37463927268981934</v>
      </c>
      <c r="G25" s="61">
        <v>0.98874360322952271</v>
      </c>
      <c r="H25" s="61">
        <v>0.82969611883163452</v>
      </c>
      <c r="I25" s="61">
        <v>0.71097660064697266</v>
      </c>
      <c r="J25" s="61">
        <v>0.6207614541053772</v>
      </c>
      <c r="K25" s="61">
        <v>0.55124253034591675</v>
      </c>
      <c r="L25" s="61">
        <v>0.49712720513343811</v>
      </c>
    </row>
    <row r="26" spans="1:12" x14ac:dyDescent="0.25">
      <c r="A26" s="61">
        <v>0.94228613376617432</v>
      </c>
      <c r="B26" s="61">
        <v>0.79908877611160278</v>
      </c>
      <c r="C26" s="61">
        <v>0.653098464012146</v>
      </c>
      <c r="D26" s="61">
        <v>0.50352561473846436</v>
      </c>
      <c r="E26" s="61">
        <v>0.34899359941482544</v>
      </c>
      <c r="G26" s="61">
        <v>0.90825343132019043</v>
      </c>
      <c r="H26" s="61">
        <v>0.76215344667434692</v>
      </c>
      <c r="I26" s="61">
        <v>0.653098464012146</v>
      </c>
      <c r="J26" s="61">
        <v>0.57022744417190552</v>
      </c>
      <c r="K26" s="61">
        <v>0.50636780261993408</v>
      </c>
      <c r="L26" s="61">
        <v>0.45665782690048218</v>
      </c>
    </row>
    <row r="27" spans="1:12" x14ac:dyDescent="0.25">
      <c r="A27" s="61">
        <v>0.86078470945358276</v>
      </c>
      <c r="B27" s="61">
        <v>0.73266631364822388</v>
      </c>
      <c r="C27" s="61">
        <v>0.60151636600494385</v>
      </c>
      <c r="D27" s="61">
        <v>0.46645969152450562</v>
      </c>
      <c r="E27" s="61">
        <v>0.32596206665039063</v>
      </c>
      <c r="G27" s="61">
        <v>0.83651906251907349</v>
      </c>
      <c r="H27" s="61">
        <v>0.70195811986923218</v>
      </c>
      <c r="I27" s="61">
        <v>0.60151636600494385</v>
      </c>
      <c r="J27" s="61">
        <v>0.52519053220748901</v>
      </c>
      <c r="K27" s="61">
        <v>0.46637457609176636</v>
      </c>
      <c r="L27" s="61">
        <v>0.42059072852134705</v>
      </c>
    </row>
    <row r="28" spans="1:12" x14ac:dyDescent="0.25">
      <c r="A28" s="62">
        <v>0.7873571515083313</v>
      </c>
      <c r="B28" s="62">
        <v>0.67264032363891602</v>
      </c>
      <c r="C28" s="62">
        <v>0.5547301173210144</v>
      </c>
      <c r="D28" s="62">
        <v>0.43268531560897827</v>
      </c>
      <c r="E28" s="62">
        <v>0.30484715104103088</v>
      </c>
      <c r="G28" s="62">
        <v>0.77145415544509888</v>
      </c>
      <c r="H28" s="62">
        <v>0.64735943078994751</v>
      </c>
      <c r="I28" s="62">
        <v>0.5547301173210144</v>
      </c>
      <c r="J28" s="62">
        <v>0.48434093594551086</v>
      </c>
      <c r="K28" s="62">
        <v>0.43009969592094421</v>
      </c>
      <c r="L28" s="62">
        <v>0.387876957654953</v>
      </c>
    </row>
    <row r="29" spans="1:12" x14ac:dyDescent="0.25">
      <c r="A29" s="61">
        <v>0.72028869390487671</v>
      </c>
      <c r="B29" s="61">
        <v>0.61761409044265747</v>
      </c>
      <c r="C29" s="61">
        <v>0.51165074110031128</v>
      </c>
      <c r="D29" s="61">
        <v>0.40140962600708008</v>
      </c>
      <c r="E29" s="61">
        <v>0.28513780236244202</v>
      </c>
      <c r="G29" s="61">
        <v>0.71154433488845825</v>
      </c>
      <c r="H29" s="61">
        <v>0.59708660840988159</v>
      </c>
      <c r="I29" s="61">
        <v>0.51165074110031128</v>
      </c>
      <c r="J29" s="61">
        <v>0.44672787189483643</v>
      </c>
      <c r="K29" s="61">
        <v>0.39669889211654663</v>
      </c>
      <c r="L29" s="61">
        <v>0.35775509476661682</v>
      </c>
    </row>
    <row r="31" spans="1:12" x14ac:dyDescent="0.25">
      <c r="A31" t="s">
        <v>107</v>
      </c>
      <c r="B31" t="s">
        <v>105</v>
      </c>
      <c r="G31" t="s">
        <v>107</v>
      </c>
      <c r="H31" t="s">
        <v>94</v>
      </c>
    </row>
    <row r="32" spans="1:12" x14ac:dyDescent="0.25">
      <c r="A32" s="24" t="s">
        <v>93</v>
      </c>
      <c r="B32" s="24" t="s">
        <v>99</v>
      </c>
      <c r="C32" s="24" t="s">
        <v>94</v>
      </c>
      <c r="D32" s="24" t="s">
        <v>100</v>
      </c>
      <c r="E32" s="24" t="s">
        <v>101</v>
      </c>
      <c r="G32" s="24" t="s">
        <v>95</v>
      </c>
      <c r="H32" s="24" t="s">
        <v>110</v>
      </c>
      <c r="I32" s="24" t="s">
        <v>96</v>
      </c>
      <c r="J32" s="24" t="s">
        <v>111</v>
      </c>
      <c r="K32" s="24" t="s">
        <v>97</v>
      </c>
      <c r="L32" s="24" t="s">
        <v>112</v>
      </c>
    </row>
    <row r="33" spans="1:12" x14ac:dyDescent="0.25">
      <c r="A33" s="67">
        <v>1.86033034324646</v>
      </c>
      <c r="B33" s="67">
        <v>1.5459848642349243</v>
      </c>
      <c r="C33" s="67">
        <v>1.2326000928878784</v>
      </c>
      <c r="D33" s="67">
        <v>0.92041653394699097</v>
      </c>
      <c r="E33" s="67">
        <v>0.60984092950820923</v>
      </c>
      <c r="G33" s="67">
        <v>1.7141568660736084</v>
      </c>
      <c r="H33" s="67">
        <v>1.4384207725524902</v>
      </c>
      <c r="I33" s="67">
        <v>1.2326000928878784</v>
      </c>
      <c r="J33" s="67">
        <v>1.0761966705322266</v>
      </c>
      <c r="K33" s="67">
        <v>0.95567357540130615</v>
      </c>
      <c r="L33" s="67">
        <v>0.86185544729232788</v>
      </c>
    </row>
    <row r="34" spans="1:12" x14ac:dyDescent="0.25">
      <c r="A34" s="68">
        <v>1.5246700048446655</v>
      </c>
      <c r="B34" s="68">
        <v>1.2745304107666016</v>
      </c>
      <c r="C34" s="68">
        <v>1.0235269069671631</v>
      </c>
      <c r="D34" s="68">
        <v>0.77143532037734985</v>
      </c>
      <c r="E34" s="68">
        <v>0.51787257194519043</v>
      </c>
      <c r="G34" s="68">
        <v>1.4234023094177246</v>
      </c>
      <c r="H34" s="68">
        <v>1.1944364309310913</v>
      </c>
      <c r="I34" s="68">
        <v>1.0235269069671631</v>
      </c>
      <c r="J34" s="68">
        <v>0.89365261793136597</v>
      </c>
      <c r="K34" s="68">
        <v>0.79357260465621948</v>
      </c>
      <c r="L34" s="68">
        <v>0.71566784381866455</v>
      </c>
    </row>
    <row r="35" spans="1:12" x14ac:dyDescent="0.25">
      <c r="A35" s="69">
        <v>1.2953656911849976</v>
      </c>
      <c r="B35" s="69">
        <v>1.0892456769943237</v>
      </c>
      <c r="C35" s="69">
        <v>0.88106322288513184</v>
      </c>
      <c r="D35" s="69">
        <v>0.67026311159133911</v>
      </c>
      <c r="E35" s="69">
        <v>0.45588994026184082</v>
      </c>
      <c r="G35" s="69">
        <v>1.2252802848815918</v>
      </c>
      <c r="H35" s="69">
        <v>1.0281839370727539</v>
      </c>
      <c r="I35" s="69">
        <v>0.88106322288513184</v>
      </c>
      <c r="J35" s="69">
        <v>0.76926594972610474</v>
      </c>
      <c r="K35" s="69">
        <v>0.68311601877212524</v>
      </c>
      <c r="L35" s="69">
        <v>0.61605477333068848</v>
      </c>
    </row>
    <row r="36" spans="1:12" x14ac:dyDescent="0.25">
      <c r="A36" s="69">
        <v>1.1227328777313232</v>
      </c>
      <c r="B36" s="69">
        <v>0.94966191053390503</v>
      </c>
      <c r="C36" s="69">
        <v>0.77371746301651001</v>
      </c>
      <c r="D36" s="69">
        <v>0.59409874677658081</v>
      </c>
      <c r="E36" s="69">
        <v>0.40941581130027771</v>
      </c>
      <c r="G36" s="69">
        <v>1.0759962797164917</v>
      </c>
      <c r="H36" s="69">
        <v>0.90291345119476318</v>
      </c>
      <c r="I36" s="69">
        <v>0.77371746301651001</v>
      </c>
      <c r="J36" s="69">
        <v>0.67554116249084473</v>
      </c>
      <c r="K36" s="69">
        <v>0.5998874306678772</v>
      </c>
      <c r="L36" s="69">
        <v>0.54099667072296143</v>
      </c>
    </row>
    <row r="37" spans="1:12" x14ac:dyDescent="0.25">
      <c r="A37" s="69">
        <v>0.98430043458938599</v>
      </c>
      <c r="B37" s="69">
        <v>0.8374895453453064</v>
      </c>
      <c r="C37" s="69">
        <v>0.68726605176925659</v>
      </c>
      <c r="D37" s="69">
        <v>0.53264659643173218</v>
      </c>
      <c r="E37" s="69">
        <v>0.3719087541103363</v>
      </c>
      <c r="G37" s="69">
        <v>0.95576971769332886</v>
      </c>
      <c r="H37" s="69">
        <v>0.80202633142471313</v>
      </c>
      <c r="I37" s="69">
        <v>0.68726605176925659</v>
      </c>
      <c r="J37" s="69">
        <v>0.60005950927734375</v>
      </c>
      <c r="K37" s="69">
        <v>0.53285896778106689</v>
      </c>
      <c r="L37" s="69">
        <v>0.48054838180541992</v>
      </c>
    </row>
    <row r="38" spans="1:12" x14ac:dyDescent="0.25">
      <c r="A38" s="69">
        <v>0.86816680431365967</v>
      </c>
      <c r="B38" s="69">
        <v>0.74304318428039551</v>
      </c>
      <c r="C38" s="69">
        <v>0.61417436599731445</v>
      </c>
      <c r="D38" s="69">
        <v>0.48044532537460327</v>
      </c>
      <c r="E38" s="69">
        <v>0.33988535404205322</v>
      </c>
      <c r="G38" s="69">
        <v>0.85412222146987915</v>
      </c>
      <c r="H38" s="69">
        <v>0.71672970056533813</v>
      </c>
      <c r="I38" s="69">
        <v>0.61417436599731445</v>
      </c>
      <c r="J38" s="69">
        <v>0.53624236583709717</v>
      </c>
      <c r="K38" s="69">
        <v>0.47618865966796875</v>
      </c>
      <c r="L38" s="69">
        <v>0.42944139242172241</v>
      </c>
    </row>
    <row r="39" spans="1:12" x14ac:dyDescent="0.25">
      <c r="A39" s="69">
        <v>0.7673332691192627</v>
      </c>
      <c r="B39" s="69">
        <v>0.66062355041503906</v>
      </c>
      <c r="C39" s="69">
        <v>0.55000138282775879</v>
      </c>
      <c r="D39" s="69">
        <v>0.43426430225372314</v>
      </c>
      <c r="E39" s="69">
        <v>0.31126758456230164</v>
      </c>
      <c r="G39" s="69">
        <v>0.76487797498703003</v>
      </c>
      <c r="H39" s="69">
        <v>0.64184111356735229</v>
      </c>
      <c r="I39" s="69">
        <v>0.55000138282775879</v>
      </c>
      <c r="J39" s="69">
        <v>0.48021224141120911</v>
      </c>
      <c r="K39" s="69">
        <v>0.42643338441848755</v>
      </c>
      <c r="L39" s="69">
        <v>0.38457053899765015</v>
      </c>
    </row>
    <row r="40" spans="1:12" x14ac:dyDescent="0.25">
      <c r="A40" s="69">
        <v>0.67736244201660156</v>
      </c>
      <c r="B40" s="69">
        <v>0.58661109209060669</v>
      </c>
      <c r="C40" s="69">
        <v>0.49191734194755554</v>
      </c>
      <c r="D40" s="69">
        <v>0.39203107357025146</v>
      </c>
      <c r="E40" s="69">
        <v>0.28470265865325928</v>
      </c>
      <c r="G40" s="69">
        <v>0.68410146236419678</v>
      </c>
      <c r="H40" s="69">
        <v>0.5740581750869751</v>
      </c>
      <c r="I40" s="69">
        <v>0.49191734194755554</v>
      </c>
      <c r="J40" s="69">
        <v>0.42949843406677246</v>
      </c>
      <c r="K40" s="69">
        <v>0.38139897584915161</v>
      </c>
      <c r="L40" s="69">
        <v>0.34395718574523926</v>
      </c>
    </row>
    <row r="41" spans="1:12" x14ac:dyDescent="0.25">
      <c r="A41" s="69">
        <v>0.59527379274368286</v>
      </c>
      <c r="B41" s="69">
        <v>0.51856720447540283</v>
      </c>
      <c r="C41" s="69">
        <v>0.43800497055053711</v>
      </c>
      <c r="D41" s="69">
        <v>0.35232657194137573</v>
      </c>
      <c r="E41" s="69">
        <v>0.25924339890480042</v>
      </c>
      <c r="G41" s="69">
        <v>0.60912638902664185</v>
      </c>
      <c r="H41" s="69">
        <v>0.51114344596862793</v>
      </c>
      <c r="I41" s="69">
        <v>0.43800497055053711</v>
      </c>
      <c r="J41" s="69">
        <v>0.38242694735527039</v>
      </c>
      <c r="K41" s="69">
        <v>0.33959901332855225</v>
      </c>
      <c r="L41" s="69">
        <v>0.30626070499420166</v>
      </c>
    </row>
    <row r="42" spans="1:12" x14ac:dyDescent="0.25">
      <c r="A42" s="69">
        <v>0.51897144317626953</v>
      </c>
      <c r="B42" s="69">
        <v>0.45476901531219482</v>
      </c>
      <c r="C42" s="69">
        <v>0.38689848780632019</v>
      </c>
      <c r="D42" s="69">
        <v>0.31412419676780701</v>
      </c>
      <c r="E42" s="69">
        <v>0.23418278992176056</v>
      </c>
      <c r="G42" s="69">
        <v>0.53805339336395264</v>
      </c>
      <c r="H42" s="69">
        <v>0.45150312781333923</v>
      </c>
      <c r="I42" s="69">
        <v>0.38689848780632019</v>
      </c>
      <c r="J42" s="69">
        <v>0.33780530095100403</v>
      </c>
      <c r="K42" s="69">
        <v>0.29997456073760986</v>
      </c>
      <c r="L42" s="69">
        <v>0.27052614092826843</v>
      </c>
    </row>
    <row r="43" spans="1:12" x14ac:dyDescent="0.25">
      <c r="A43" s="70">
        <v>0.44692406058311462</v>
      </c>
      <c r="B43" s="70">
        <v>0.39394927024841309</v>
      </c>
      <c r="C43" s="70">
        <v>0.33758145570755005</v>
      </c>
      <c r="D43" s="70">
        <v>0.27664381265640259</v>
      </c>
      <c r="E43" s="70">
        <v>0.20896127820014954</v>
      </c>
      <c r="G43" s="69">
        <v>0.46946904063224792</v>
      </c>
      <c r="H43" s="70">
        <v>0.39395111799240112</v>
      </c>
      <c r="I43" s="70">
        <v>0.33758145570755005</v>
      </c>
      <c r="J43" s="70">
        <v>0.29474607110023499</v>
      </c>
      <c r="K43" s="69">
        <v>0.26173752546310425</v>
      </c>
      <c r="L43" s="69">
        <v>0.23604282736778259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D80"/>
  <sheetViews>
    <sheetView showGridLines="0" tabSelected="1" topLeftCell="M13" zoomScaleNormal="100" workbookViewId="0">
      <selection activeCell="AF15" sqref="AF15"/>
    </sheetView>
  </sheetViews>
  <sheetFormatPr defaultRowHeight="15" x14ac:dyDescent="0.25"/>
  <cols>
    <col min="2" max="9" width="5.5703125" bestFit="1" customWidth="1"/>
    <col min="10" max="10" width="5.5703125" style="75" bestFit="1" customWidth="1"/>
    <col min="11" max="11" width="8.42578125" style="75" bestFit="1" customWidth="1"/>
    <col min="12" max="13" width="5.5703125" style="75" bestFit="1" customWidth="1"/>
    <col min="14" max="14" width="2" bestFit="1" customWidth="1"/>
    <col min="25" max="25" width="5.5703125" bestFit="1" customWidth="1"/>
    <col min="26" max="26" width="10" style="101" bestFit="1" customWidth="1"/>
  </cols>
  <sheetData>
    <row r="1" spans="1:30" x14ac:dyDescent="0.25">
      <c r="I1" s="155"/>
      <c r="K1" s="75" t="s">
        <v>134</v>
      </c>
    </row>
    <row r="2" spans="1:30" ht="18" x14ac:dyDescent="0.35">
      <c r="I2" s="155"/>
      <c r="J2" s="92" t="s">
        <v>17</v>
      </c>
      <c r="K2" s="75" t="s">
        <v>120</v>
      </c>
      <c r="L2" s="75" t="s">
        <v>121</v>
      </c>
      <c r="M2" s="75" t="s">
        <v>122</v>
      </c>
    </row>
    <row r="3" spans="1:30" ht="15.75" thickBot="1" x14ac:dyDescent="0.3">
      <c r="I3" s="155"/>
      <c r="J3" s="75">
        <v>0</v>
      </c>
      <c r="K3" s="75">
        <f>(1-J3)^2</f>
        <v>1</v>
      </c>
      <c r="L3" s="75">
        <f>2*J3*(1-J3)</f>
        <v>0</v>
      </c>
      <c r="M3" s="75">
        <f>J3^2</f>
        <v>0</v>
      </c>
    </row>
    <row r="4" spans="1:30" ht="15.75" thickBot="1" x14ac:dyDescent="0.3">
      <c r="A4" s="75"/>
      <c r="B4" s="75"/>
      <c r="C4" s="140" t="s">
        <v>18</v>
      </c>
      <c r="D4" s="141"/>
      <c r="E4" s="142"/>
      <c r="F4" s="153"/>
      <c r="G4" s="153"/>
      <c r="H4" s="153"/>
      <c r="I4" s="155"/>
      <c r="J4" s="93">
        <v>0.1</v>
      </c>
      <c r="K4" s="75">
        <f>(1-J4)^2</f>
        <v>0.81</v>
      </c>
      <c r="L4" s="75">
        <f t="shared" ref="L4:L13" si="0">2*J4*(1-J4)</f>
        <v>0.18000000000000002</v>
      </c>
      <c r="M4" s="75">
        <f t="shared" ref="M4:M13" si="1">J4^2</f>
        <v>1.0000000000000002E-2</v>
      </c>
      <c r="O4" s="23"/>
    </row>
    <row r="5" spans="1:30" s="74" customFormat="1" ht="15.75" thickBot="1" x14ac:dyDescent="0.3">
      <c r="A5" s="75"/>
      <c r="B5" s="75"/>
      <c r="C5" s="76">
        <v>0.1</v>
      </c>
      <c r="D5" s="91">
        <v>0.3</v>
      </c>
      <c r="E5" s="77">
        <v>0.5</v>
      </c>
      <c r="F5" s="90"/>
      <c r="G5" s="90"/>
      <c r="H5" s="90"/>
      <c r="I5" s="156"/>
      <c r="J5" s="75">
        <v>0.2</v>
      </c>
      <c r="K5" s="75">
        <f t="shared" ref="K5:K13" si="2">(1-J5)^2</f>
        <v>0.64000000000000012</v>
      </c>
      <c r="L5" s="75">
        <f t="shared" si="0"/>
        <v>0.32000000000000006</v>
      </c>
      <c r="M5" s="75">
        <f t="shared" si="1"/>
        <v>4.0000000000000008E-2</v>
      </c>
      <c r="O5" s="90"/>
      <c r="Z5" s="101"/>
    </row>
    <row r="6" spans="1:30" x14ac:dyDescent="0.25">
      <c r="A6" s="143" t="s">
        <v>17</v>
      </c>
      <c r="B6" s="78">
        <v>1.5</v>
      </c>
      <c r="C6" s="81">
        <v>2.2690000000000001</v>
      </c>
      <c r="D6" s="82">
        <v>1.3091999999999999</v>
      </c>
      <c r="E6" s="83">
        <v>0.96940000000000004</v>
      </c>
      <c r="F6" s="85"/>
      <c r="G6" s="85"/>
      <c r="H6" s="85"/>
      <c r="I6" s="155"/>
      <c r="J6" s="75">
        <v>0.3</v>
      </c>
      <c r="K6" s="75">
        <f t="shared" si="2"/>
        <v>0.48999999999999994</v>
      </c>
      <c r="L6" s="75">
        <f t="shared" si="0"/>
        <v>0.42</v>
      </c>
      <c r="M6" s="75">
        <f t="shared" si="1"/>
        <v>0.09</v>
      </c>
      <c r="O6" s="85"/>
    </row>
    <row r="7" spans="1:30" x14ac:dyDescent="0.25">
      <c r="A7" s="144"/>
      <c r="B7" s="79">
        <v>5</v>
      </c>
      <c r="C7" s="84">
        <v>1.4702999999999999</v>
      </c>
      <c r="D7" s="85">
        <v>0.77729999999999999</v>
      </c>
      <c r="E7" s="86">
        <v>0.51170000000000004</v>
      </c>
      <c r="F7" s="85"/>
      <c r="G7" s="85"/>
      <c r="H7" s="85"/>
      <c r="I7" s="155"/>
      <c r="J7" s="93">
        <v>0.4</v>
      </c>
      <c r="K7" s="75">
        <f t="shared" si="2"/>
        <v>0.36</v>
      </c>
      <c r="L7" s="75">
        <f t="shared" si="0"/>
        <v>0.48</v>
      </c>
      <c r="M7" s="75">
        <f t="shared" si="1"/>
        <v>0.16000000000000003</v>
      </c>
      <c r="O7" s="85"/>
    </row>
    <row r="8" spans="1:30" ht="15.75" thickBot="1" x14ac:dyDescent="0.3">
      <c r="A8" s="145"/>
      <c r="B8" s="80">
        <v>10</v>
      </c>
      <c r="C8" s="87">
        <v>1.1329819999999999</v>
      </c>
      <c r="D8" s="88">
        <v>0.53965600000000002</v>
      </c>
      <c r="E8" s="89">
        <v>0.235204</v>
      </c>
      <c r="F8" s="85"/>
      <c r="G8" s="85"/>
      <c r="H8" s="85"/>
      <c r="I8" s="155"/>
      <c r="J8" s="75">
        <v>0.5</v>
      </c>
      <c r="K8" s="75">
        <f t="shared" si="2"/>
        <v>0.25</v>
      </c>
      <c r="L8" s="75">
        <f t="shared" si="0"/>
        <v>0.5</v>
      </c>
      <c r="M8" s="75">
        <f t="shared" si="1"/>
        <v>0.25</v>
      </c>
      <c r="O8" s="85"/>
    </row>
    <row r="9" spans="1:30" x14ac:dyDescent="0.25">
      <c r="C9" s="154"/>
      <c r="D9" s="90"/>
      <c r="E9" s="85"/>
      <c r="F9" s="85"/>
      <c r="G9" s="85"/>
      <c r="H9" s="85"/>
      <c r="I9" s="155"/>
      <c r="J9" s="75">
        <v>0.6</v>
      </c>
      <c r="K9" s="75">
        <f t="shared" si="2"/>
        <v>0.16000000000000003</v>
      </c>
      <c r="L9" s="75">
        <f t="shared" si="0"/>
        <v>0.48</v>
      </c>
      <c r="M9" s="75">
        <f t="shared" si="1"/>
        <v>0.36</v>
      </c>
      <c r="N9" s="85"/>
      <c r="O9" s="85"/>
    </row>
    <row r="10" spans="1:30" x14ac:dyDescent="0.25">
      <c r="A10" s="7" t="s">
        <v>17</v>
      </c>
      <c r="B10" s="112">
        <v>3</v>
      </c>
      <c r="C10" s="108">
        <v>8</v>
      </c>
      <c r="D10" s="90"/>
      <c r="E10" s="7" t="s">
        <v>17</v>
      </c>
      <c r="F10" s="112">
        <v>3</v>
      </c>
      <c r="G10" s="108">
        <v>8</v>
      </c>
      <c r="I10" s="155"/>
      <c r="J10" s="93">
        <v>0.7</v>
      </c>
      <c r="K10" s="75">
        <f t="shared" si="2"/>
        <v>9.0000000000000024E-2</v>
      </c>
      <c r="L10" s="75">
        <f t="shared" si="0"/>
        <v>0.42000000000000004</v>
      </c>
      <c r="M10" s="75">
        <f t="shared" si="1"/>
        <v>0.48999999999999994</v>
      </c>
      <c r="N10" s="85"/>
      <c r="O10" s="85"/>
    </row>
    <row r="11" spans="1:30" x14ac:dyDescent="0.25">
      <c r="A11" s="7" t="s">
        <v>18</v>
      </c>
      <c r="B11" s="113"/>
      <c r="C11" s="109"/>
      <c r="E11" s="7" t="s">
        <v>18</v>
      </c>
      <c r="F11" s="113"/>
      <c r="G11" s="109"/>
      <c r="I11" s="155"/>
      <c r="J11" s="75">
        <v>0.8</v>
      </c>
      <c r="K11" s="75">
        <f t="shared" si="2"/>
        <v>3.999999999999998E-2</v>
      </c>
      <c r="L11" s="75">
        <f t="shared" si="0"/>
        <v>0.31999999999999995</v>
      </c>
      <c r="M11" s="75">
        <f t="shared" si="1"/>
        <v>0.64000000000000012</v>
      </c>
    </row>
    <row r="12" spans="1:30" x14ac:dyDescent="0.25">
      <c r="A12" s="8">
        <v>0.18</v>
      </c>
      <c r="B12" s="95">
        <v>1.3120000000000001</v>
      </c>
      <c r="C12" s="96">
        <v>0.88100000000000001</v>
      </c>
      <c r="E12" s="8">
        <v>0.18</v>
      </c>
      <c r="F12" s="95">
        <v>1.6759999999999999</v>
      </c>
      <c r="G12" s="96">
        <v>1.07</v>
      </c>
      <c r="I12" s="155"/>
      <c r="J12" s="75">
        <v>0.9</v>
      </c>
      <c r="K12" s="75">
        <f t="shared" si="2"/>
        <v>9.999999999999995E-3</v>
      </c>
      <c r="L12" s="75">
        <f t="shared" si="0"/>
        <v>0.17999999999999997</v>
      </c>
      <c r="M12" s="75">
        <f t="shared" si="1"/>
        <v>0.81</v>
      </c>
    </row>
    <row r="13" spans="1:30" x14ac:dyDescent="0.25">
      <c r="A13" s="94">
        <v>0.42</v>
      </c>
      <c r="B13" s="97">
        <v>0.78600000000000003</v>
      </c>
      <c r="C13" s="98">
        <v>0.438</v>
      </c>
      <c r="E13" s="94">
        <v>0.42</v>
      </c>
      <c r="F13" s="97">
        <v>0.96299999999999997</v>
      </c>
      <c r="G13" s="98">
        <v>0.50800000000000001</v>
      </c>
      <c r="I13" s="155"/>
      <c r="J13" s="93">
        <v>1</v>
      </c>
      <c r="K13" s="75">
        <f t="shared" si="2"/>
        <v>0</v>
      </c>
      <c r="L13" s="75">
        <f t="shared" si="0"/>
        <v>0</v>
      </c>
      <c r="M13" s="75">
        <f t="shared" si="1"/>
        <v>1</v>
      </c>
    </row>
    <row r="14" spans="1:30" x14ac:dyDescent="0.25">
      <c r="A14" t="s">
        <v>123</v>
      </c>
      <c r="E14" t="s">
        <v>124</v>
      </c>
      <c r="G14" s="101"/>
      <c r="I14" s="155"/>
      <c r="L14" s="4" t="s">
        <v>135</v>
      </c>
      <c r="M14" s="5">
        <v>4</v>
      </c>
      <c r="AA14" s="4" t="s">
        <v>136</v>
      </c>
      <c r="AB14" s="5">
        <v>3</v>
      </c>
    </row>
    <row r="15" spans="1:30" ht="18" x14ac:dyDescent="0.35">
      <c r="F15" t="s">
        <v>126</v>
      </c>
      <c r="G15" s="101"/>
      <c r="I15" s="155"/>
      <c r="J15" s="92" t="s">
        <v>17</v>
      </c>
      <c r="K15" s="101" t="s">
        <v>120</v>
      </c>
      <c r="L15" s="101" t="s">
        <v>121</v>
      </c>
      <c r="M15" s="101" t="s">
        <v>122</v>
      </c>
      <c r="O15" s="101" t="s">
        <v>137</v>
      </c>
      <c r="P15" s="101" t="s">
        <v>138</v>
      </c>
      <c r="Y15" s="92" t="s">
        <v>18</v>
      </c>
      <c r="Z15" s="101" t="s">
        <v>139</v>
      </c>
      <c r="AA15" s="101" t="s">
        <v>140</v>
      </c>
      <c r="AB15" s="101" t="s">
        <v>141</v>
      </c>
      <c r="AC15" s="101" t="s">
        <v>142</v>
      </c>
      <c r="AD15" s="101" t="s">
        <v>143</v>
      </c>
    </row>
    <row r="16" spans="1:30" x14ac:dyDescent="0.25">
      <c r="I16" s="155"/>
      <c r="J16" s="101">
        <v>9.9999999999999995E-8</v>
      </c>
      <c r="K16" s="75">
        <f>FACT($M$14)*POWER(J16,0)*POWER(1-J16,$M$14-0)/(FACT(0)*FACT($M$14-0))</f>
        <v>0.99999960000006016</v>
      </c>
      <c r="L16" s="101">
        <f>FACT($M$14)*POWER(J16,1)*POWER(1-J16,$M$14-1)/(FACT(1)*FACT($M$14-1))</f>
        <v>3.9999988000001204E-7</v>
      </c>
      <c r="M16" s="101">
        <f>FACT($M$14)*POWER(J16,2)*POWER(1-J16,$M$14-2)/(FACT(2)*FACT($M$14-2))</f>
        <v>5.9999988000000605E-14</v>
      </c>
      <c r="O16">
        <v>0</v>
      </c>
      <c r="P16">
        <v>0</v>
      </c>
      <c r="Y16" s="101">
        <v>0.1</v>
      </c>
      <c r="Z16" s="39">
        <v>9.9999999999999995E-8</v>
      </c>
      <c r="AA16" s="101">
        <f>FACT($AB$14)*POWER(Z16,0)*POWER(1-Z16,$AB$14-0)/(FACT(0)*FACT($AB$14-0))</f>
        <v>0.99999970000003013</v>
      </c>
      <c r="AB16" s="101">
        <f>FACT($AB$14)*POWER(Z16,1)*POWER(1-Z16,$AB$14-1)/(FACT(0)*FACT($AB$14-1))</f>
        <v>2.99999940000003E-7</v>
      </c>
      <c r="AC16" s="101">
        <f>FACT($AB$14)*POWER(Z16,2)*POWER(1-Z16,$AB$14-2)/(FACT(2)*FACT($AB$14-2))</f>
        <v>2.9999996999999999E-14</v>
      </c>
      <c r="AD16" s="101">
        <f>FACT($AB$14)*POWER(Z16,3)*POWER(1-Z16,$AB$14-3)/(FACT(3)*FACT($AB$14-3))</f>
        <v>9.9999999999999972E-22</v>
      </c>
    </row>
    <row r="17" spans="9:30" x14ac:dyDescent="0.25">
      <c r="I17" s="155"/>
      <c r="J17" s="93">
        <v>0.1</v>
      </c>
      <c r="K17" s="101">
        <f>FACT($M$14)*POWER(J17,0)*POWER(1-J17,$M$14-0)/(FACT(0)*FACT($M$14-0))</f>
        <v>0.65610000000000013</v>
      </c>
      <c r="L17" s="101">
        <f>FACT($M$14)*POWER(J17,1)*POWER(1-J17,$M$14-1)/(FACT(1)*FACT($M$14-1))</f>
        <v>0.29160000000000008</v>
      </c>
      <c r="M17" s="101">
        <f>FACT($M$14)*POWER(J17,2)*POWER(1-J17,$M$14-2)/(FACT(2)*FACT($M$14-2))</f>
        <v>4.8600000000000011E-2</v>
      </c>
      <c r="O17">
        <f>FACT($M$14)*POWER(J17,3)*POWER(1-J17,$M$14-3)/(FACT(3)*FACT($M$14-3))</f>
        <v>3.6000000000000012E-3</v>
      </c>
      <c r="P17">
        <f>FACT($M$14)*POWER(J17,4)*POWER(1-J17,$M$14-4)/(FACT(4)*FACT($M$14-4))</f>
        <v>1.0000000000000005E-4</v>
      </c>
      <c r="Y17" s="39">
        <v>0.12</v>
      </c>
      <c r="Z17" s="101">
        <f t="shared" ref="Z17:Z36" si="3">(Y17-0.1)/0.4</f>
        <v>4.9999999999999975E-2</v>
      </c>
      <c r="AA17" s="101">
        <f t="shared" ref="AA17:AA36" si="4">FACT($AB$14)*POWER(Z17,0)*POWER(1-Z17,$AB$14-0)/(FACT(0)*FACT($AB$14-0))</f>
        <v>0.85737500000000011</v>
      </c>
      <c r="AB17" s="101">
        <f t="shared" ref="AB17:AB36" si="5">FACT($AB$14)*POWER(Z17,1)*POWER(1-Z17,$AB$14-1)/(FACT(1)*FACT($AB$14-1))</f>
        <v>0.13537499999999994</v>
      </c>
      <c r="AC17" s="101">
        <f t="shared" ref="AC17:AC36" si="6">FACT($AB$14)*POWER(Z17,2)*POWER(1-Z17,$AB$14-2)/(FACT(2)*FACT($AB$14-2))</f>
        <v>7.1249999999999933E-3</v>
      </c>
      <c r="AD17" s="101">
        <f t="shared" ref="AD17:AD36" si="7">FACT($AB$14)*POWER(Z17,3)*POWER(1-Z17,$AB$14-3)/(FACT(3)*FACT($AB$14-3))</f>
        <v>1.2499999999999981E-4</v>
      </c>
    </row>
    <row r="18" spans="9:30" x14ac:dyDescent="0.25">
      <c r="I18" s="155"/>
      <c r="J18" s="101">
        <v>0.2</v>
      </c>
      <c r="K18" s="101">
        <f>FACT($M$14)*POWER(J18,0)*POWER(1-J18,$M$14-0)/(FACT(0)*FACT($M$14-0))</f>
        <v>0.40960000000000019</v>
      </c>
      <c r="L18" s="101">
        <f>FACT($M$14)*POWER(J18,1)*POWER(1-J18,$M$14-1)/(FACT(1)*FACT($M$14-1))</f>
        <v>0.40960000000000019</v>
      </c>
      <c r="M18" s="101">
        <f>FACT($M$14)*POWER(J18,2)*POWER(1-J18,$M$14-2)/(FACT(2)*FACT($M$14-2))</f>
        <v>0.15360000000000007</v>
      </c>
      <c r="O18">
        <f>FACT($M$14)*POWER(J18,3)*POWER(1-J18,$M$14-3)/(FACT(3)*FACT($M$14-3))</f>
        <v>2.5600000000000012E-2</v>
      </c>
      <c r="P18">
        <f>FACT($M$14)*POWER(J18,4)*POWER(1-J18,$M$14-4)/(FACT(4)*FACT($M$14-4))</f>
        <v>1.6000000000000007E-3</v>
      </c>
      <c r="Y18" s="101">
        <v>0.14000000000000001</v>
      </c>
      <c r="Z18" s="101">
        <f t="shared" si="3"/>
        <v>0.10000000000000002</v>
      </c>
      <c r="AA18" s="101">
        <f t="shared" si="4"/>
        <v>0.72900000000000009</v>
      </c>
      <c r="AB18" s="101">
        <f t="shared" si="5"/>
        <v>0.24300000000000005</v>
      </c>
      <c r="AC18" s="101">
        <f t="shared" si="6"/>
        <v>2.7000000000000014E-2</v>
      </c>
      <c r="AD18" s="101">
        <f t="shared" si="7"/>
        <v>1.0000000000000005E-3</v>
      </c>
    </row>
    <row r="19" spans="9:30" x14ac:dyDescent="0.25">
      <c r="I19" s="155"/>
      <c r="J19" s="101">
        <v>0.3</v>
      </c>
      <c r="K19" s="101">
        <f>FACT($M$14)*POWER(J19,0)*POWER(1-J19,$M$14-0)/(FACT(0)*FACT($M$14-0))</f>
        <v>0.2400999999999999</v>
      </c>
      <c r="L19" s="101">
        <f>FACT($M$14)*POWER(J19,1)*POWER(1-J19,$M$14-1)/(FACT(1)*FACT($M$14-1))</f>
        <v>0.41159999999999991</v>
      </c>
      <c r="M19" s="101">
        <f>FACT($M$14)*POWER(J19,2)*POWER(1-J19,$M$14-2)/(FACT(2)*FACT($M$14-2))</f>
        <v>0.2646</v>
      </c>
      <c r="O19">
        <f>FACT($M$14)*POWER(J19,3)*POWER(1-J19,$M$14-3)/(FACT(3)*FACT($M$14-3))</f>
        <v>7.5600000000000001E-2</v>
      </c>
      <c r="P19">
        <f>FACT($M$14)*POWER(J19,4)*POWER(1-J19,$M$14-4)/(FACT(4)*FACT($M$14-4))</f>
        <v>8.0999999999999996E-3</v>
      </c>
      <c r="Y19" s="39">
        <v>0.16</v>
      </c>
      <c r="Z19" s="101">
        <f t="shared" si="3"/>
        <v>0.15</v>
      </c>
      <c r="AA19" s="101">
        <f t="shared" si="4"/>
        <v>0.61412499999999992</v>
      </c>
      <c r="AB19" s="101">
        <f t="shared" si="5"/>
        <v>0.32512499999999994</v>
      </c>
      <c r="AC19" s="101">
        <f t="shared" si="6"/>
        <v>5.7375000000000002E-2</v>
      </c>
      <c r="AD19" s="101">
        <f t="shared" si="7"/>
        <v>3.375E-3</v>
      </c>
    </row>
    <row r="20" spans="9:30" x14ac:dyDescent="0.25">
      <c r="I20" s="155"/>
      <c r="J20" s="93">
        <v>0.4</v>
      </c>
      <c r="K20" s="101">
        <f>FACT($M$14)*POWER(J20,0)*POWER(1-J20,$M$14-0)/(FACT(0)*FACT($M$14-0))</f>
        <v>0.12959999999999999</v>
      </c>
      <c r="L20" s="101">
        <f>FACT($M$14)*POWER(J20,1)*POWER(1-J20,$M$14-1)/(FACT(1)*FACT($M$14-1))</f>
        <v>0.34560000000000007</v>
      </c>
      <c r="M20" s="101">
        <f>FACT($M$14)*POWER(J20,2)*POWER(1-J20,$M$14-2)/(FACT(2)*FACT($M$14-2))</f>
        <v>0.34560000000000007</v>
      </c>
      <c r="O20">
        <f>FACT($M$14)*POWER(J20,3)*POWER(1-J20,$M$14-3)/(FACT(3)*FACT($M$14-3))</f>
        <v>0.15360000000000004</v>
      </c>
      <c r="P20">
        <f>FACT($M$14)*POWER(J20,4)*POWER(1-J20,$M$14-4)/(FACT(4)*FACT($M$14-4))</f>
        <v>2.5600000000000012E-2</v>
      </c>
      <c r="Y20" s="101">
        <v>0.18</v>
      </c>
      <c r="Z20" s="101">
        <f t="shared" si="3"/>
        <v>0.19999999999999996</v>
      </c>
      <c r="AA20" s="101">
        <f t="shared" si="4"/>
        <v>0.51200000000000012</v>
      </c>
      <c r="AB20" s="101">
        <f t="shared" si="5"/>
        <v>0.38400000000000001</v>
      </c>
      <c r="AC20" s="101">
        <f t="shared" si="6"/>
        <v>9.599999999999996E-2</v>
      </c>
      <c r="AD20" s="101">
        <f t="shared" si="7"/>
        <v>7.999999999999995E-3</v>
      </c>
    </row>
    <row r="21" spans="9:30" x14ac:dyDescent="0.25">
      <c r="I21" s="155"/>
      <c r="J21" s="101">
        <v>0.5</v>
      </c>
      <c r="K21" s="101">
        <f>FACT($M$14)*POWER(J21,0)*POWER(1-J21,$M$14-0)/(FACT(0)*FACT($M$14-0))</f>
        <v>6.25E-2</v>
      </c>
      <c r="L21" s="101">
        <f>FACT($M$14)*POWER(J21,1)*POWER(1-J21,$M$14-1)/(FACT(1)*FACT($M$14-1))</f>
        <v>0.25</v>
      </c>
      <c r="M21" s="101">
        <f>FACT($M$14)*POWER(J21,2)*POWER(1-J21,$M$14-2)/(FACT(2)*FACT($M$14-2))</f>
        <v>0.375</v>
      </c>
      <c r="O21">
        <f>FACT($M$14)*POWER(J21,3)*POWER(1-J21,$M$14-3)/(FACT(3)*FACT($M$14-3))</f>
        <v>0.25</v>
      </c>
      <c r="P21">
        <f>FACT($M$14)*POWER(J21,4)*POWER(1-J21,$M$14-4)/(FACT(4)*FACT($M$14-4))</f>
        <v>6.25E-2</v>
      </c>
      <c r="Y21" s="39">
        <v>0.2</v>
      </c>
      <c r="Z21" s="101">
        <f t="shared" si="3"/>
        <v>0.25</v>
      </c>
      <c r="AA21" s="101">
        <f t="shared" si="4"/>
        <v>0.421875</v>
      </c>
      <c r="AB21" s="101">
        <f t="shared" si="5"/>
        <v>0.421875</v>
      </c>
      <c r="AC21" s="101">
        <f t="shared" si="6"/>
        <v>0.140625</v>
      </c>
      <c r="AD21" s="101">
        <f t="shared" si="7"/>
        <v>1.5625E-2</v>
      </c>
    </row>
    <row r="22" spans="9:30" x14ac:dyDescent="0.25">
      <c r="I22" s="155"/>
      <c r="J22" s="101">
        <v>0.6</v>
      </c>
      <c r="K22" s="101">
        <f>FACT($M$14)*POWER(J22,0)*POWER(1-J22,$M$14-0)/(FACT(0)*FACT($M$14-0))</f>
        <v>2.5600000000000012E-2</v>
      </c>
      <c r="L22" s="101">
        <f>FACT($M$14)*POWER(J22,1)*POWER(1-J22,$M$14-1)/(FACT(1)*FACT($M$14-1))</f>
        <v>0.15360000000000001</v>
      </c>
      <c r="M22" s="101">
        <f>FACT($M$14)*POWER(J22,2)*POWER(1-J22,$M$14-2)/(FACT(2)*FACT($M$14-2))</f>
        <v>0.34560000000000007</v>
      </c>
      <c r="O22">
        <f>FACT($M$14)*POWER(J22,3)*POWER(1-J22,$M$14-3)/(FACT(3)*FACT($M$14-3))</f>
        <v>0.34560000000000007</v>
      </c>
      <c r="P22">
        <f>FACT($M$14)*POWER(J22,4)*POWER(1-J22,$M$14-4)/(FACT(4)*FACT($M$14-4))</f>
        <v>0.12959999999999999</v>
      </c>
      <c r="Y22" s="101">
        <v>0.22</v>
      </c>
      <c r="Z22" s="101">
        <f t="shared" si="3"/>
        <v>0.3</v>
      </c>
      <c r="AA22" s="101">
        <f t="shared" si="4"/>
        <v>0.34299999999999992</v>
      </c>
      <c r="AB22" s="101">
        <f t="shared" si="5"/>
        <v>0.44099999999999989</v>
      </c>
      <c r="AC22" s="101">
        <f t="shared" si="6"/>
        <v>0.189</v>
      </c>
      <c r="AD22" s="101">
        <f t="shared" si="7"/>
        <v>2.7E-2</v>
      </c>
    </row>
    <row r="23" spans="9:30" x14ac:dyDescent="0.25">
      <c r="I23" s="155"/>
      <c r="J23" s="93">
        <v>0.7</v>
      </c>
      <c r="K23" s="101">
        <f>FACT($M$14)*POWER(J23,0)*POWER(1-J23,$M$14-0)/(FACT(0)*FACT($M$14-0))</f>
        <v>8.1000000000000048E-3</v>
      </c>
      <c r="L23" s="101">
        <f>FACT($M$14)*POWER(J23,1)*POWER(1-J23,$M$14-1)/(FACT(1)*FACT($M$14-1))</f>
        <v>7.5600000000000014E-2</v>
      </c>
      <c r="M23" s="101">
        <f>FACT($M$14)*POWER(J23,2)*POWER(1-J23,$M$14-2)/(FACT(2)*FACT($M$14-2))</f>
        <v>0.2646</v>
      </c>
      <c r="O23">
        <f>FACT($M$14)*POWER(J23,3)*POWER(1-J23,$M$14-3)/(FACT(3)*FACT($M$14-3))</f>
        <v>0.41159999999999997</v>
      </c>
      <c r="P23">
        <f>FACT($M$14)*POWER(J23,4)*POWER(1-J23,$M$14-4)/(FACT(4)*FACT($M$14-4))</f>
        <v>0.2400999999999999</v>
      </c>
      <c r="Y23" s="39">
        <v>0.24</v>
      </c>
      <c r="Z23" s="101">
        <f t="shared" si="3"/>
        <v>0.34999999999999992</v>
      </c>
      <c r="AA23" s="101">
        <f t="shared" si="4"/>
        <v>0.27462500000000017</v>
      </c>
      <c r="AB23" s="101">
        <f t="shared" si="5"/>
        <v>0.4436250000000001</v>
      </c>
      <c r="AC23" s="101">
        <f t="shared" si="6"/>
        <v>0.23887499999999995</v>
      </c>
      <c r="AD23" s="101">
        <f t="shared" si="7"/>
        <v>4.2874999999999969E-2</v>
      </c>
    </row>
    <row r="24" spans="9:30" x14ac:dyDescent="0.25">
      <c r="I24" s="155"/>
      <c r="J24" s="101">
        <v>0.8</v>
      </c>
      <c r="K24" s="101">
        <f>FACT($M$14)*POWER(J24,0)*POWER(1-J24,$M$14-0)/(FACT(0)*FACT($M$14-0))</f>
        <v>1.5999999999999983E-3</v>
      </c>
      <c r="L24" s="101">
        <f>FACT($M$14)*POWER(J24,1)*POWER(1-J24,$M$14-1)/(FACT(1)*FACT($M$14-1))</f>
        <v>2.5599999999999987E-2</v>
      </c>
      <c r="M24" s="101">
        <f>FACT($M$14)*POWER(J24,2)*POWER(1-J24,$M$14-2)/(FACT(2)*FACT($M$14-2))</f>
        <v>0.15359999999999996</v>
      </c>
      <c r="O24">
        <f>FACT($M$14)*POWER(J24,3)*POWER(1-J24,$M$14-3)/(FACT(3)*FACT($M$14-3))</f>
        <v>0.40960000000000002</v>
      </c>
      <c r="P24">
        <f>FACT($M$14)*POWER(J24,4)*POWER(1-J24,$M$14-4)/(FACT(4)*FACT($M$14-4))</f>
        <v>0.40960000000000019</v>
      </c>
      <c r="Y24" s="101">
        <v>0.26</v>
      </c>
      <c r="Z24" s="101">
        <f t="shared" si="3"/>
        <v>0.39999999999999997</v>
      </c>
      <c r="AA24" s="101">
        <f t="shared" si="4"/>
        <v>0.21600000000000008</v>
      </c>
      <c r="AB24" s="101">
        <f t="shared" si="5"/>
        <v>0.43200000000000011</v>
      </c>
      <c r="AC24" s="101">
        <f t="shared" si="6"/>
        <v>0.28799999999999998</v>
      </c>
      <c r="AD24" s="101">
        <f t="shared" si="7"/>
        <v>6.3999999999999987E-2</v>
      </c>
    </row>
    <row r="25" spans="9:30" x14ac:dyDescent="0.25">
      <c r="I25" s="155"/>
      <c r="J25" s="101">
        <v>0.9</v>
      </c>
      <c r="K25" s="101">
        <f>FACT($M$14)*POWER(J25,0)*POWER(1-J25,$M$14-0)/(FACT(0)*FACT($M$14-0))</f>
        <v>9.9999999999999896E-5</v>
      </c>
      <c r="L25" s="101">
        <f>FACT($M$14)*POWER(J25,1)*POWER(1-J25,$M$14-1)/(FACT(1)*FACT($M$14-1))</f>
        <v>3.5999999999999977E-3</v>
      </c>
      <c r="M25" s="101">
        <f>FACT($M$14)*POWER(J25,2)*POWER(1-J25,$M$14-2)/(FACT(2)*FACT($M$14-2))</f>
        <v>4.8599999999999977E-2</v>
      </c>
      <c r="O25">
        <f>FACT($M$14)*POWER(J25,3)*POWER(1-J25,$M$14-3)/(FACT(3)*FACT($M$14-3))</f>
        <v>0.29159999999999997</v>
      </c>
      <c r="P25">
        <f>FACT($M$14)*POWER(J25,4)*POWER(1-J25,$M$14-4)/(FACT(4)*FACT($M$14-4))</f>
        <v>0.65610000000000013</v>
      </c>
      <c r="Y25" s="39">
        <v>0.28000000000000003</v>
      </c>
      <c r="Z25" s="101">
        <f t="shared" si="3"/>
        <v>0.45</v>
      </c>
      <c r="AA25" s="101">
        <f t="shared" si="4"/>
        <v>0.16637500000000005</v>
      </c>
      <c r="AB25" s="101">
        <f t="shared" si="5"/>
        <v>0.4083750000000001</v>
      </c>
      <c r="AC25" s="101">
        <f t="shared" si="6"/>
        <v>0.33412500000000006</v>
      </c>
      <c r="AD25" s="101">
        <f t="shared" si="7"/>
        <v>9.1125000000000012E-2</v>
      </c>
    </row>
    <row r="26" spans="9:30" x14ac:dyDescent="0.25">
      <c r="I26" s="155"/>
      <c r="J26" s="93">
        <v>1</v>
      </c>
      <c r="K26" s="101">
        <f>FACT($M$14)*POWER(J26,0)*POWER(1-J26,$M$14-0)/(FACT(0)*FACT($M$14-0))</f>
        <v>0</v>
      </c>
      <c r="L26" s="101">
        <f>FACT($M$14)*POWER(J26,1)*POWER(1-J26,$M$14-1)/(FACT(1)*FACT($M$14-1))</f>
        <v>0</v>
      </c>
      <c r="M26" s="101">
        <f>FACT($M$14)*POWER(J26,2)*POWER(1-J26,$M$14-2)/(FACT(2)*FACT($M$14-2))</f>
        <v>0</v>
      </c>
      <c r="O26">
        <f>FACT($M$14)*POWER(J26,3)*POWER(1-J26,$M$14-3)/(FACT(3)*FACT($M$14-3))</f>
        <v>0</v>
      </c>
      <c r="P26">
        <v>1</v>
      </c>
      <c r="Y26" s="101">
        <v>0.3</v>
      </c>
      <c r="Z26" s="101">
        <f t="shared" si="3"/>
        <v>0.49999999999999994</v>
      </c>
      <c r="AA26" s="101">
        <f t="shared" si="4"/>
        <v>0.125</v>
      </c>
      <c r="AB26" s="101">
        <f t="shared" si="5"/>
        <v>0.37499999999999994</v>
      </c>
      <c r="AC26" s="101">
        <f t="shared" si="6"/>
        <v>0.37499999999999989</v>
      </c>
      <c r="AD26" s="101">
        <f t="shared" si="7"/>
        <v>0.12499999999999996</v>
      </c>
    </row>
    <row r="27" spans="9:30" x14ac:dyDescent="0.25">
      <c r="Y27" s="39">
        <v>0.32</v>
      </c>
      <c r="Z27" s="101">
        <f t="shared" si="3"/>
        <v>0.54999999999999993</v>
      </c>
      <c r="AA27" s="101">
        <f t="shared" si="4"/>
        <v>9.1125000000000053E-2</v>
      </c>
      <c r="AB27" s="101">
        <f t="shared" si="5"/>
        <v>0.33412500000000012</v>
      </c>
      <c r="AC27" s="101">
        <f t="shared" si="6"/>
        <v>0.40837499999999993</v>
      </c>
      <c r="AD27" s="101">
        <f t="shared" si="7"/>
        <v>0.16637499999999994</v>
      </c>
    </row>
    <row r="28" spans="9:30" x14ac:dyDescent="0.25">
      <c r="Y28" s="101">
        <v>0.34</v>
      </c>
      <c r="Z28" s="101">
        <f t="shared" si="3"/>
        <v>0.6</v>
      </c>
      <c r="AA28" s="101">
        <f t="shared" si="4"/>
        <v>6.4000000000000015E-2</v>
      </c>
      <c r="AB28" s="101">
        <f t="shared" si="5"/>
        <v>0.28800000000000003</v>
      </c>
      <c r="AC28" s="101">
        <f t="shared" si="6"/>
        <v>0.43200000000000005</v>
      </c>
      <c r="AD28" s="101">
        <f t="shared" si="7"/>
        <v>0.216</v>
      </c>
    </row>
    <row r="29" spans="9:30" x14ac:dyDescent="0.25">
      <c r="Y29" s="39">
        <v>0.36</v>
      </c>
      <c r="Z29" s="101">
        <f t="shared" si="3"/>
        <v>0.65</v>
      </c>
      <c r="AA29" s="101">
        <f t="shared" si="4"/>
        <v>4.287499999999999E-2</v>
      </c>
      <c r="AB29" s="101">
        <f t="shared" si="5"/>
        <v>0.238875</v>
      </c>
      <c r="AC29" s="101">
        <f t="shared" si="6"/>
        <v>0.44362499999999999</v>
      </c>
      <c r="AD29" s="101">
        <f t="shared" si="7"/>
        <v>0.27462500000000006</v>
      </c>
    </row>
    <row r="30" spans="9:30" x14ac:dyDescent="0.25">
      <c r="Y30" s="101">
        <v>0.38</v>
      </c>
      <c r="Z30" s="101">
        <f t="shared" si="3"/>
        <v>0.70000000000000007</v>
      </c>
      <c r="AA30" s="101">
        <f t="shared" si="4"/>
        <v>2.6999999999999979E-2</v>
      </c>
      <c r="AB30" s="101">
        <f t="shared" si="5"/>
        <v>0.18899999999999992</v>
      </c>
      <c r="AC30" s="101">
        <f t="shared" si="6"/>
        <v>0.44099999999999995</v>
      </c>
      <c r="AD30" s="101">
        <f t="shared" si="7"/>
        <v>0.34300000000000014</v>
      </c>
    </row>
    <row r="31" spans="9:30" x14ac:dyDescent="0.25">
      <c r="Y31" s="39">
        <v>0.4</v>
      </c>
      <c r="Z31" s="101">
        <f t="shared" si="3"/>
        <v>0.75000000000000011</v>
      </c>
      <c r="AA31" s="101">
        <f t="shared" si="4"/>
        <v>1.5624999999999979E-2</v>
      </c>
      <c r="AB31" s="101">
        <f t="shared" si="5"/>
        <v>0.14062499999999989</v>
      </c>
      <c r="AC31" s="101">
        <f t="shared" si="6"/>
        <v>0.421875</v>
      </c>
      <c r="AD31" s="101">
        <f t="shared" si="7"/>
        <v>0.42187500000000022</v>
      </c>
    </row>
    <row r="32" spans="9:30" x14ac:dyDescent="0.25">
      <c r="Y32" s="101">
        <v>0.42</v>
      </c>
      <c r="Z32" s="101">
        <f t="shared" si="3"/>
        <v>0.79999999999999982</v>
      </c>
      <c r="AA32" s="101">
        <f t="shared" si="4"/>
        <v>8.000000000000021E-3</v>
      </c>
      <c r="AB32" s="101">
        <f t="shared" si="5"/>
        <v>9.6000000000000141E-2</v>
      </c>
      <c r="AC32" s="101">
        <f t="shared" si="6"/>
        <v>0.38400000000000017</v>
      </c>
      <c r="AD32" s="101">
        <f t="shared" si="7"/>
        <v>0.51199999999999968</v>
      </c>
    </row>
    <row r="33" spans="4:30" x14ac:dyDescent="0.25">
      <c r="Y33" s="39">
        <v>0.44</v>
      </c>
      <c r="Z33" s="101">
        <f t="shared" si="3"/>
        <v>0.84999999999999987</v>
      </c>
      <c r="AA33" s="101">
        <f t="shared" si="4"/>
        <v>3.3750000000000086E-3</v>
      </c>
      <c r="AB33" s="101">
        <f t="shared" si="5"/>
        <v>5.73750000000001E-2</v>
      </c>
      <c r="AC33" s="101">
        <f t="shared" si="6"/>
        <v>0.32512500000000022</v>
      </c>
      <c r="AD33" s="101">
        <f t="shared" si="7"/>
        <v>0.6141249999999997</v>
      </c>
    </row>
    <row r="34" spans="4:30" x14ac:dyDescent="0.25">
      <c r="Y34" s="101">
        <v>0.46</v>
      </c>
      <c r="Z34" s="101">
        <f t="shared" si="3"/>
        <v>0.89999999999999991</v>
      </c>
      <c r="AA34" s="101">
        <f t="shared" si="4"/>
        <v>1.0000000000000026E-3</v>
      </c>
      <c r="AB34" s="101">
        <f t="shared" si="5"/>
        <v>2.7000000000000045E-2</v>
      </c>
      <c r="AC34" s="101">
        <f t="shared" si="6"/>
        <v>0.24300000000000019</v>
      </c>
      <c r="AD34" s="101">
        <f t="shared" si="7"/>
        <v>0.72899999999999976</v>
      </c>
    </row>
    <row r="35" spans="4:30" x14ac:dyDescent="0.25">
      <c r="Y35" s="39">
        <v>0.48</v>
      </c>
      <c r="Z35" s="101">
        <f t="shared" si="3"/>
        <v>0.95</v>
      </c>
      <c r="AA35" s="101">
        <f t="shared" si="4"/>
        <v>1.2500000000000033E-4</v>
      </c>
      <c r="AB35" s="101">
        <f t="shared" si="5"/>
        <v>7.1250000000000115E-3</v>
      </c>
      <c r="AC35" s="101">
        <f t="shared" si="6"/>
        <v>0.13537500000000013</v>
      </c>
      <c r="AD35" s="101">
        <f t="shared" si="7"/>
        <v>0.85737499999999989</v>
      </c>
    </row>
    <row r="36" spans="4:30" x14ac:dyDescent="0.25">
      <c r="D36" s="31"/>
      <c r="E36" s="151"/>
      <c r="F36" s="151"/>
      <c r="Y36" s="101">
        <v>0.5</v>
      </c>
      <c r="Z36" s="101">
        <v>0.99999998999999995</v>
      </c>
      <c r="AA36" s="101">
        <f t="shared" si="4"/>
        <v>1.0000000150742779E-24</v>
      </c>
      <c r="AB36" s="101">
        <f t="shared" si="5"/>
        <v>3.0000000001485553E-16</v>
      </c>
      <c r="AC36" s="101">
        <f t="shared" si="6"/>
        <v>2.9999999550742775E-8</v>
      </c>
      <c r="AD36" s="101">
        <f t="shared" si="7"/>
        <v>0.99999997000000018</v>
      </c>
    </row>
    <row r="37" spans="4:30" x14ac:dyDescent="0.25">
      <c r="D37" s="31"/>
      <c r="E37" s="151"/>
      <c r="F37" s="151"/>
    </row>
    <row r="38" spans="4:30" x14ac:dyDescent="0.25">
      <c r="D38" s="31"/>
      <c r="E38" s="152"/>
      <c r="F38" s="150"/>
    </row>
    <row r="39" spans="4:30" x14ac:dyDescent="0.25">
      <c r="D39" s="31"/>
      <c r="E39" s="152"/>
      <c r="F39" s="150"/>
    </row>
    <row r="45" spans="4:30" x14ac:dyDescent="0.25">
      <c r="P45" t="s">
        <v>132</v>
      </c>
    </row>
    <row r="50" spans="1:29" x14ac:dyDescent="0.25">
      <c r="A50" s="7" t="s">
        <v>17</v>
      </c>
      <c r="B50" s="112">
        <v>1.5</v>
      </c>
      <c r="C50" s="104">
        <v>2</v>
      </c>
      <c r="D50" s="104">
        <v>3</v>
      </c>
      <c r="E50" s="104">
        <v>4</v>
      </c>
      <c r="F50" s="104">
        <v>5</v>
      </c>
      <c r="G50" s="104">
        <v>6</v>
      </c>
      <c r="H50" s="104">
        <v>7</v>
      </c>
      <c r="I50" s="104">
        <v>8</v>
      </c>
      <c r="J50" s="104">
        <v>9</v>
      </c>
      <c r="K50" s="108">
        <v>10</v>
      </c>
      <c r="L50"/>
      <c r="R50" s="7" t="s">
        <v>17</v>
      </c>
      <c r="S50" s="112">
        <v>1.5</v>
      </c>
      <c r="T50" s="104">
        <v>2</v>
      </c>
      <c r="U50" s="104">
        <v>3</v>
      </c>
      <c r="V50" s="104">
        <v>4</v>
      </c>
      <c r="W50" s="104">
        <v>5</v>
      </c>
      <c r="X50" s="104">
        <v>6</v>
      </c>
      <c r="Y50" s="104">
        <v>7</v>
      </c>
      <c r="Z50" s="104">
        <v>8</v>
      </c>
      <c r="AA50" s="104">
        <v>9</v>
      </c>
      <c r="AB50" s="108">
        <v>10</v>
      </c>
    </row>
    <row r="51" spans="1:29" x14ac:dyDescent="0.25">
      <c r="A51" s="7" t="s">
        <v>18</v>
      </c>
      <c r="B51" s="117"/>
      <c r="C51" s="111"/>
      <c r="D51" s="111"/>
      <c r="E51" s="111"/>
      <c r="F51" s="111"/>
      <c r="G51" s="111"/>
      <c r="H51" s="111"/>
      <c r="I51" s="111"/>
      <c r="J51" s="111"/>
      <c r="K51" s="109"/>
      <c r="L51"/>
      <c r="R51" s="7" t="s">
        <v>18</v>
      </c>
      <c r="S51" s="113"/>
      <c r="T51" s="105"/>
      <c r="U51" s="105"/>
      <c r="V51" s="105"/>
      <c r="W51" s="105"/>
      <c r="X51" s="105"/>
      <c r="Y51" s="105"/>
      <c r="Z51" s="105"/>
      <c r="AA51" s="105"/>
      <c r="AB51" s="109"/>
    </row>
    <row r="52" spans="1:29" x14ac:dyDescent="0.25">
      <c r="A52" s="8">
        <v>0.1</v>
      </c>
      <c r="B52" s="99">
        <v>2.269996166229248</v>
      </c>
      <c r="C52" s="99">
        <v>2.1774723529815674</v>
      </c>
      <c r="D52" s="99">
        <v>2.0019707679748535</v>
      </c>
      <c r="E52" s="99">
        <v>1.8392022848129272</v>
      </c>
      <c r="F52" s="99">
        <v>1.689167857170105</v>
      </c>
      <c r="G52" s="99">
        <v>1.5518671274185181</v>
      </c>
      <c r="H52" s="99">
        <v>1.4272996187210083</v>
      </c>
      <c r="I52" s="99">
        <v>1.3154656887054443</v>
      </c>
      <c r="J52" s="99">
        <v>1.2163655757904053</v>
      </c>
      <c r="K52" s="99">
        <v>1.1299995183944702</v>
      </c>
      <c r="L52" t="s">
        <v>125</v>
      </c>
      <c r="R52" s="8">
        <v>0.1</v>
      </c>
      <c r="S52" s="99">
        <v>2.2692217826843262</v>
      </c>
      <c r="T52" s="99">
        <v>2.0517332553863525</v>
      </c>
      <c r="U52" s="99">
        <v>1.7743023633956909</v>
      </c>
      <c r="V52" s="99">
        <v>1.5970814228057861</v>
      </c>
      <c r="W52" s="99">
        <v>1.4703360795974731</v>
      </c>
      <c r="X52" s="99">
        <v>1.3735014200210571</v>
      </c>
      <c r="Y52" s="99">
        <v>1.2962210178375244</v>
      </c>
      <c r="Z52" s="99">
        <v>1.2326000928878784</v>
      </c>
      <c r="AA52" s="99">
        <v>1.1789885759353638</v>
      </c>
      <c r="AB52" s="99">
        <v>1.1329821348190308</v>
      </c>
      <c r="AC52" t="s">
        <v>115</v>
      </c>
    </row>
    <row r="53" spans="1:29" x14ac:dyDescent="0.25">
      <c r="A53" s="9">
        <v>0.14000000000000001</v>
      </c>
      <c r="B53" s="99">
        <v>2.0841982364654541</v>
      </c>
      <c r="C53" s="99">
        <v>1.9976763725280762</v>
      </c>
      <c r="D53" s="99">
        <v>1.8334882259368896</v>
      </c>
      <c r="E53" s="99">
        <v>1.6811114549636841</v>
      </c>
      <c r="F53" s="99">
        <v>1.5405467748641968</v>
      </c>
      <c r="G53" s="99">
        <v>1.4117940664291382</v>
      </c>
      <c r="H53" s="99">
        <v>1.2948527336120605</v>
      </c>
      <c r="I53" s="99">
        <v>1.1897234916687012</v>
      </c>
      <c r="J53" s="99">
        <v>1.0964058637619019</v>
      </c>
      <c r="K53" s="99">
        <v>1.0149006843566895</v>
      </c>
      <c r="L53"/>
      <c r="R53" s="9">
        <v>0.14000000000000001</v>
      </c>
      <c r="S53" s="99">
        <v>1.936552882194519</v>
      </c>
      <c r="T53" s="99">
        <v>1.7436627149581909</v>
      </c>
      <c r="U53" s="99">
        <v>1.4985144138336182</v>
      </c>
      <c r="V53" s="99">
        <v>1.3425663709640503</v>
      </c>
      <c r="W53" s="99">
        <v>1.2313851118087769</v>
      </c>
      <c r="X53" s="99">
        <v>1.1466329097747803</v>
      </c>
      <c r="Y53" s="99">
        <v>1.0790927410125732</v>
      </c>
      <c r="Z53" s="99">
        <v>1.0235269069671631</v>
      </c>
      <c r="AA53" s="99">
        <v>0.97669720649719238</v>
      </c>
      <c r="AB53" s="99">
        <v>0.936473548412323</v>
      </c>
    </row>
    <row r="54" spans="1:29" x14ac:dyDescent="0.25">
      <c r="A54" s="9">
        <v>0.18</v>
      </c>
      <c r="B54" s="99">
        <v>1.910798192024231</v>
      </c>
      <c r="C54" s="99">
        <v>1.8298131227493286</v>
      </c>
      <c r="D54" s="99">
        <v>1.67603600025177</v>
      </c>
      <c r="E54" s="99">
        <v>1.5331872701644897</v>
      </c>
      <c r="F54" s="99">
        <v>1.4012676477432251</v>
      </c>
      <c r="G54" s="99">
        <v>1.2802767753601074</v>
      </c>
      <c r="H54" s="99">
        <v>1.1702144145965576</v>
      </c>
      <c r="I54" s="99">
        <v>1.0710809230804443</v>
      </c>
      <c r="J54" s="99">
        <v>0.98287606239318848</v>
      </c>
      <c r="K54" s="99">
        <v>0.90560054779052734</v>
      </c>
      <c r="L54"/>
      <c r="R54" s="9">
        <v>0.18</v>
      </c>
      <c r="S54" s="99">
        <v>1.7115687131881714</v>
      </c>
      <c r="T54" s="99">
        <v>1.5355085134506226</v>
      </c>
      <c r="U54" s="99">
        <v>1.3123377561569214</v>
      </c>
      <c r="V54" s="99">
        <v>1.1707206964492798</v>
      </c>
      <c r="W54" s="99">
        <v>1.0698729753494263</v>
      </c>
      <c r="X54" s="99">
        <v>0.99299389123916626</v>
      </c>
      <c r="Y54" s="99">
        <v>0.93165212869644165</v>
      </c>
      <c r="Z54" s="99">
        <v>0.88106322288513184</v>
      </c>
      <c r="AA54" s="99">
        <v>0.83827221393585205</v>
      </c>
      <c r="AB54" s="99">
        <v>0.80133700370788574</v>
      </c>
    </row>
    <row r="55" spans="1:29" x14ac:dyDescent="0.25">
      <c r="A55" s="9">
        <v>0.22</v>
      </c>
      <c r="B55" s="99">
        <v>1.7497987747192383</v>
      </c>
      <c r="C55" s="99">
        <v>1.6738841533660889</v>
      </c>
      <c r="D55" s="99">
        <v>1.5296158790588379</v>
      </c>
      <c r="E55" s="99">
        <v>1.3954313993453979</v>
      </c>
      <c r="F55" s="99">
        <v>1.271331787109375</v>
      </c>
      <c r="G55" s="99">
        <v>1.1573166847229004</v>
      </c>
      <c r="H55" s="99">
        <v>1.053385853767395</v>
      </c>
      <c r="I55" s="99">
        <v>0.95953947305679321</v>
      </c>
      <c r="J55" s="99">
        <v>0.87577760219573975</v>
      </c>
      <c r="K55" s="99">
        <v>0.80210065841674805</v>
      </c>
      <c r="L55"/>
      <c r="R55" s="9">
        <v>0.22</v>
      </c>
      <c r="S55" s="99">
        <v>1.5451667308807373</v>
      </c>
      <c r="T55" s="99">
        <v>1.3816163539886475</v>
      </c>
      <c r="U55" s="99">
        <v>1.174649715423584</v>
      </c>
      <c r="V55" s="99">
        <v>1.0434294939041138</v>
      </c>
      <c r="W55" s="99">
        <v>0.94991093873977661</v>
      </c>
      <c r="X55" s="99">
        <v>0.87844806909561157</v>
      </c>
      <c r="Y55" s="99">
        <v>0.82119888067245483</v>
      </c>
      <c r="Z55" s="99">
        <v>0.77371746301651001</v>
      </c>
      <c r="AA55" s="99">
        <v>0.73325902223587036</v>
      </c>
      <c r="AB55" s="99">
        <v>0.69801908731460571</v>
      </c>
    </row>
    <row r="56" spans="1:29" x14ac:dyDescent="0.25">
      <c r="A56" s="9">
        <v>0.26</v>
      </c>
      <c r="B56" s="99">
        <v>1.601198673248291</v>
      </c>
      <c r="C56" s="99">
        <v>1.5298894643783569</v>
      </c>
      <c r="D56" s="99">
        <v>1.3942270278930664</v>
      </c>
      <c r="E56" s="99">
        <v>1.2678436040878296</v>
      </c>
      <c r="F56" s="99">
        <v>1.1507391929626465</v>
      </c>
      <c r="G56" s="99">
        <v>1.0429134368896484</v>
      </c>
      <c r="H56" s="99">
        <v>0.94436675310134888</v>
      </c>
      <c r="I56" s="99">
        <v>0.8550989031791687</v>
      </c>
      <c r="J56" s="99">
        <v>0.77511006593704224</v>
      </c>
      <c r="K56" s="99">
        <v>0.70440059900283813</v>
      </c>
      <c r="L56"/>
      <c r="R56" s="9">
        <v>0.26</v>
      </c>
      <c r="S56" s="99">
        <v>1.4149976968765259</v>
      </c>
      <c r="T56" s="99">
        <v>1.2612253427505493</v>
      </c>
      <c r="U56" s="99">
        <v>1.0667825937271118</v>
      </c>
      <c r="V56" s="99">
        <v>0.94341671466827393</v>
      </c>
      <c r="W56" s="99">
        <v>0.85525345802307129</v>
      </c>
      <c r="X56" s="99">
        <v>0.78755980730056763</v>
      </c>
      <c r="Y56" s="99">
        <v>0.73295801877975464</v>
      </c>
      <c r="Z56" s="99">
        <v>0.68726605176925659</v>
      </c>
      <c r="AA56" s="99">
        <v>0.64790064096450806</v>
      </c>
      <c r="AB56" s="99">
        <v>0.61316049098968506</v>
      </c>
    </row>
    <row r="57" spans="1:29" x14ac:dyDescent="0.25">
      <c r="A57" s="9">
        <v>0.3</v>
      </c>
      <c r="B57" s="99">
        <v>1.464998722076416</v>
      </c>
      <c r="C57" s="99">
        <v>1.3978288173675537</v>
      </c>
      <c r="D57" s="99">
        <v>1.2698701620101929</v>
      </c>
      <c r="E57" s="99">
        <v>1.1504236459732056</v>
      </c>
      <c r="F57" s="99">
        <v>1.0394895076751709</v>
      </c>
      <c r="G57" s="99">
        <v>0.93706750869750977</v>
      </c>
      <c r="H57" s="99">
        <v>0.84315735101699829</v>
      </c>
      <c r="I57" s="99">
        <v>0.75775951147079468</v>
      </c>
      <c r="J57" s="99">
        <v>0.68087375164031982</v>
      </c>
      <c r="K57" s="99">
        <v>0.61250054836273193</v>
      </c>
      <c r="L57"/>
      <c r="R57" s="9">
        <v>0.3</v>
      </c>
      <c r="S57" s="99">
        <v>1.3091652393341064</v>
      </c>
      <c r="T57" s="99">
        <v>1.1632943153381348</v>
      </c>
      <c r="U57" s="99">
        <v>0.97882342338562012</v>
      </c>
      <c r="V57" s="99">
        <v>0.86152106523513794</v>
      </c>
      <c r="W57" s="99">
        <v>0.77729451656341553</v>
      </c>
      <c r="X57" s="99">
        <v>0.71215730905532837</v>
      </c>
      <c r="Y57" s="99">
        <v>0.65910780429840088</v>
      </c>
      <c r="Z57" s="99">
        <v>0.61417436599731445</v>
      </c>
      <c r="AA57" s="99">
        <v>0.57489871978759766</v>
      </c>
      <c r="AB57" s="99">
        <v>0.53965592384338379</v>
      </c>
    </row>
    <row r="58" spans="1:29" x14ac:dyDescent="0.25">
      <c r="A58" s="9">
        <v>0.34</v>
      </c>
      <c r="B58" s="99">
        <v>1.3411988019943237</v>
      </c>
      <c r="C58" s="99">
        <v>1.2777024507522583</v>
      </c>
      <c r="D58" s="99">
        <v>1.1565455198287964</v>
      </c>
      <c r="E58" s="99">
        <v>1.0431722402572632</v>
      </c>
      <c r="F58" s="99">
        <v>0.93758326768875122</v>
      </c>
      <c r="G58" s="99">
        <v>0.83977848291397095</v>
      </c>
      <c r="H58" s="99">
        <v>0.74975776672363281</v>
      </c>
      <c r="I58" s="99">
        <v>0.66752105951309204</v>
      </c>
      <c r="J58" s="99">
        <v>0.59306854009628296</v>
      </c>
      <c r="K58" s="99">
        <v>0.52640050649642944</v>
      </c>
      <c r="L58"/>
      <c r="R58" s="9">
        <v>0.34</v>
      </c>
      <c r="S58" s="99">
        <v>1.2206497192382812</v>
      </c>
      <c r="T58" s="99">
        <v>1.0813132524490356</v>
      </c>
      <c r="U58" s="99">
        <v>0.90493661165237427</v>
      </c>
      <c r="V58" s="99">
        <v>0.79235541820526123</v>
      </c>
      <c r="W58" s="99">
        <v>0.71097660064697266</v>
      </c>
      <c r="X58" s="99">
        <v>0.64743798971176147</v>
      </c>
      <c r="Y58" s="99">
        <v>0.5950472354888916</v>
      </c>
      <c r="Z58" s="99">
        <v>0.55000138282775879</v>
      </c>
      <c r="AA58" s="99">
        <v>0.50993716716766357</v>
      </c>
      <c r="AB58" s="99">
        <v>0.47328218817710876</v>
      </c>
    </row>
    <row r="59" spans="1:29" x14ac:dyDescent="0.25">
      <c r="A59" s="9">
        <v>0.38</v>
      </c>
      <c r="B59" s="99">
        <v>1.2297987937927246</v>
      </c>
      <c r="C59" s="99">
        <v>1.1695103645324707</v>
      </c>
      <c r="D59" s="99">
        <v>1.0542522668838501</v>
      </c>
      <c r="E59" s="99">
        <v>0.94608891010284424</v>
      </c>
      <c r="F59" s="99">
        <v>0.84502041339874268</v>
      </c>
      <c r="G59" s="99">
        <v>0.75104659795761108</v>
      </c>
      <c r="H59" s="99">
        <v>0.66416776180267334</v>
      </c>
      <c r="I59" s="99">
        <v>0.58438378572463989</v>
      </c>
      <c r="J59" s="99">
        <v>0.51169449090957642</v>
      </c>
      <c r="K59" s="99">
        <v>0.44610056281089783</v>
      </c>
      <c r="L59"/>
      <c r="R59" s="9">
        <v>0.38</v>
      </c>
      <c r="S59" s="99">
        <v>1.1449943780899048</v>
      </c>
      <c r="T59" s="99">
        <v>1.0111526250839233</v>
      </c>
      <c r="U59" s="99">
        <v>0.84142476320266724</v>
      </c>
      <c r="V59" s="99">
        <v>0.73250925540924072</v>
      </c>
      <c r="W59" s="99">
        <v>0.653098464012146</v>
      </c>
      <c r="X59" s="99">
        <v>0.59035927057266235</v>
      </c>
      <c r="Y59" s="99">
        <v>0.53785562515258789</v>
      </c>
      <c r="Z59" s="99">
        <v>0.49191734194755554</v>
      </c>
      <c r="AA59" s="99">
        <v>0.45024925470352173</v>
      </c>
      <c r="AB59" s="99">
        <v>0.41130879521369934</v>
      </c>
    </row>
    <row r="60" spans="1:29" x14ac:dyDescent="0.25">
      <c r="A60" s="9">
        <v>0.42</v>
      </c>
      <c r="B60" s="99">
        <v>1.1307989358901978</v>
      </c>
      <c r="C60" s="99">
        <v>1.0732525587081909</v>
      </c>
      <c r="D60" s="99">
        <v>0.96299105882644653</v>
      </c>
      <c r="E60" s="99">
        <v>0.85917371511459351</v>
      </c>
      <c r="F60" s="99">
        <v>0.76180064678192139</v>
      </c>
      <c r="G60" s="99">
        <v>0.67087197303771973</v>
      </c>
      <c r="H60" s="99">
        <v>0.5863875150680542</v>
      </c>
      <c r="I60" s="99">
        <v>0.50834745168685913</v>
      </c>
      <c r="J60" s="99">
        <v>0.4367516040802002</v>
      </c>
      <c r="K60" s="99">
        <v>0.37160056829452515</v>
      </c>
      <c r="L60"/>
      <c r="R60" s="9">
        <v>0.42</v>
      </c>
      <c r="S60" s="99">
        <v>1.0792088508605957</v>
      </c>
      <c r="T60" s="99">
        <v>0.9500434398651123</v>
      </c>
      <c r="U60" s="99">
        <v>0.78581184148788452</v>
      </c>
      <c r="V60" s="99">
        <v>0.67969983816146851</v>
      </c>
      <c r="W60" s="99">
        <v>0.60151636600494385</v>
      </c>
      <c r="X60" s="99">
        <v>0.53888022899627686</v>
      </c>
      <c r="Y60" s="99">
        <v>0.48556619882583618</v>
      </c>
      <c r="Z60" s="99">
        <v>0.43800497055053711</v>
      </c>
      <c r="AA60" s="99">
        <v>0.39394336938858032</v>
      </c>
      <c r="AB60" s="99">
        <v>0.3518451452255249</v>
      </c>
    </row>
    <row r="61" spans="1:29" x14ac:dyDescent="0.25">
      <c r="A61" s="9">
        <v>0.46</v>
      </c>
      <c r="B61" s="100">
        <v>1.0441989898681641</v>
      </c>
      <c r="C61" s="99">
        <v>0.98892909288406372</v>
      </c>
      <c r="D61" s="99">
        <v>0.88276159763336182</v>
      </c>
      <c r="E61" s="99">
        <v>0.78242659568786621</v>
      </c>
      <c r="F61" s="99">
        <v>0.68792414665222168</v>
      </c>
      <c r="G61" s="99">
        <v>0.59925425052642822</v>
      </c>
      <c r="H61" s="99">
        <v>0.51641690731048584</v>
      </c>
      <c r="I61" s="99">
        <v>0.43941205739974976</v>
      </c>
      <c r="J61" s="99">
        <v>0.36823976039886475</v>
      </c>
      <c r="K61" s="99">
        <v>0.3029005229473114</v>
      </c>
      <c r="L61"/>
      <c r="R61" s="9">
        <v>0.46</v>
      </c>
      <c r="S61" s="100">
        <v>1.021199107170105</v>
      </c>
      <c r="T61" s="99">
        <v>0.89604806900024414</v>
      </c>
      <c r="U61" s="99">
        <v>0.73636674880981445</v>
      </c>
      <c r="V61" s="99">
        <v>0.63233143091201782</v>
      </c>
      <c r="W61" s="99">
        <v>0.5547301173210144</v>
      </c>
      <c r="X61" s="99">
        <v>0.4915679395198822</v>
      </c>
      <c r="Y61" s="99">
        <v>0.43679043650627136</v>
      </c>
      <c r="Z61" s="99">
        <v>0.38689848780632019</v>
      </c>
      <c r="AA61" s="99">
        <v>0.33965420722961426</v>
      </c>
      <c r="AB61" s="99">
        <v>0.29350239038467407</v>
      </c>
    </row>
    <row r="62" spans="1:29" x14ac:dyDescent="0.25">
      <c r="A62" s="94">
        <v>0.5</v>
      </c>
      <c r="B62" s="99">
        <v>0.96999979019165039</v>
      </c>
      <c r="C62" s="99">
        <v>0.91654050350189209</v>
      </c>
      <c r="D62" s="99">
        <v>0.81356477737426758</v>
      </c>
      <c r="E62" s="99">
        <v>0.71584832668304443</v>
      </c>
      <c r="F62" s="99">
        <v>0.62339156866073608</v>
      </c>
      <c r="G62" s="99">
        <v>0.5361943244934082</v>
      </c>
      <c r="H62" s="99">
        <v>0.45425659418106079</v>
      </c>
      <c r="I62" s="99">
        <v>0.37757843732833862</v>
      </c>
      <c r="J62" s="99">
        <v>0.30615976452827454</v>
      </c>
      <c r="K62" s="99">
        <v>0.24000115692615509</v>
      </c>
      <c r="L62"/>
      <c r="R62" s="94">
        <v>0.5</v>
      </c>
      <c r="S62" s="99">
        <v>0.96944701671600342</v>
      </c>
      <c r="T62" s="99">
        <v>0.8477628231048584</v>
      </c>
      <c r="U62" s="99">
        <v>0.69183641672134399</v>
      </c>
      <c r="V62" s="99">
        <v>0.58924859762191772</v>
      </c>
      <c r="W62" s="99">
        <v>0.51165074110031128</v>
      </c>
      <c r="X62" s="99">
        <v>0.44737780094146729</v>
      </c>
      <c r="Y62" s="99">
        <v>0.39050781726837158</v>
      </c>
      <c r="Z62" s="99">
        <v>0.33758145570755005</v>
      </c>
      <c r="AA62" s="99">
        <v>0.28634795546531677</v>
      </c>
      <c r="AB62" s="99">
        <v>0.23520447313785553</v>
      </c>
    </row>
    <row r="64" spans="1:29" x14ac:dyDescent="0.25">
      <c r="A64" s="7" t="s">
        <v>17</v>
      </c>
      <c r="B64" s="112">
        <v>1.5</v>
      </c>
      <c r="C64" s="104">
        <v>2</v>
      </c>
      <c r="D64" s="104">
        <v>3</v>
      </c>
      <c r="E64" s="104">
        <v>4</v>
      </c>
      <c r="F64" s="104">
        <v>5</v>
      </c>
      <c r="G64" s="104">
        <v>6</v>
      </c>
      <c r="H64" s="104">
        <v>7</v>
      </c>
      <c r="I64" s="104">
        <v>8</v>
      </c>
      <c r="J64" s="104">
        <v>9</v>
      </c>
      <c r="K64" s="108">
        <v>10</v>
      </c>
    </row>
    <row r="65" spans="1:25" x14ac:dyDescent="0.25">
      <c r="A65" s="7" t="s">
        <v>18</v>
      </c>
      <c r="B65" s="117"/>
      <c r="C65" s="111"/>
      <c r="D65" s="111"/>
      <c r="E65" s="111"/>
      <c r="F65" s="111"/>
      <c r="G65" s="111"/>
      <c r="H65" s="111"/>
      <c r="I65" s="111"/>
      <c r="J65" s="111"/>
      <c r="K65" s="109"/>
      <c r="R65" s="7" t="s">
        <v>17</v>
      </c>
      <c r="S65" s="112">
        <v>2</v>
      </c>
      <c r="T65" s="108">
        <v>8</v>
      </c>
      <c r="V65" s="7" t="s">
        <v>17</v>
      </c>
      <c r="W65" s="112">
        <v>2</v>
      </c>
      <c r="X65" s="108">
        <v>8</v>
      </c>
      <c r="Y65" s="75"/>
    </row>
    <row r="66" spans="1:25" x14ac:dyDescent="0.25">
      <c r="A66" s="8">
        <v>0.1</v>
      </c>
      <c r="B66" s="157">
        <v>2.2699956893920898</v>
      </c>
      <c r="C66" s="157">
        <v>2.1564452648162842</v>
      </c>
      <c r="D66" s="157">
        <v>1.9528303146362305</v>
      </c>
      <c r="E66" s="157">
        <v>1.7779957056045532</v>
      </c>
      <c r="F66" s="157">
        <v>1.6286559104919434</v>
      </c>
      <c r="G66" s="157">
        <v>1.5012466907501221</v>
      </c>
      <c r="H66" s="157">
        <v>1.3919291496276855</v>
      </c>
      <c r="I66" s="157">
        <v>1.2965884208679199</v>
      </c>
      <c r="J66" s="99">
        <v>1.2108339071273804</v>
      </c>
      <c r="K66" s="99">
        <v>1.1299993991851807</v>
      </c>
      <c r="R66" s="7" t="s">
        <v>18</v>
      </c>
      <c r="S66" s="113"/>
      <c r="T66" s="109"/>
      <c r="V66" s="7" t="s">
        <v>18</v>
      </c>
      <c r="W66" s="113"/>
      <c r="X66" s="109"/>
      <c r="Y66" s="75"/>
    </row>
    <row r="67" spans="1:25" x14ac:dyDescent="0.25">
      <c r="A67" s="9">
        <v>0.14000000000000001</v>
      </c>
      <c r="B67" s="157">
        <v>2.0653877258300781</v>
      </c>
      <c r="C67" s="157">
        <v>1.9601808786392212</v>
      </c>
      <c r="D67" s="157">
        <v>1.7712925672531128</v>
      </c>
      <c r="E67" s="157">
        <v>1.6088602542877197</v>
      </c>
      <c r="F67" s="157">
        <v>1.4699521064758301</v>
      </c>
      <c r="G67" s="157">
        <v>1.3513647317886353</v>
      </c>
      <c r="H67" s="157">
        <v>1.2496287822723389</v>
      </c>
      <c r="I67" s="157">
        <v>1.1610052585601807</v>
      </c>
      <c r="J67" s="99">
        <v>1.0814875364303589</v>
      </c>
      <c r="K67" s="99">
        <v>1.0068005323410034</v>
      </c>
      <c r="R67" s="8">
        <v>0.18</v>
      </c>
      <c r="S67" s="99">
        <v>1.5355085134506226</v>
      </c>
      <c r="T67" s="157">
        <v>0.88100000000000001</v>
      </c>
      <c r="V67" s="8">
        <v>0.18</v>
      </c>
      <c r="W67" s="157">
        <v>1.7845580577850342</v>
      </c>
      <c r="X67" s="157">
        <v>1.0387988090515137</v>
      </c>
      <c r="Y67" s="75"/>
    </row>
    <row r="68" spans="1:25" x14ac:dyDescent="0.25">
      <c r="A68" s="9">
        <v>0.18</v>
      </c>
      <c r="B68" s="157">
        <v>1.8823177814483643</v>
      </c>
      <c r="C68" s="157">
        <v>1.7845580577850342</v>
      </c>
      <c r="D68" s="157">
        <v>1.608803391456604</v>
      </c>
      <c r="E68" s="157">
        <v>1.4574112892150879</v>
      </c>
      <c r="F68" s="157">
        <v>1.3277523517608643</v>
      </c>
      <c r="G68" s="157">
        <v>1.2169243097305298</v>
      </c>
      <c r="H68" s="157">
        <v>1.1217541694641113</v>
      </c>
      <c r="I68" s="157">
        <v>1.0387988090515137</v>
      </c>
      <c r="J68" s="99">
        <v>0.96434259414672852</v>
      </c>
      <c r="K68" s="99">
        <v>0.89440047740936279</v>
      </c>
      <c r="L68" t="s">
        <v>127</v>
      </c>
      <c r="M68" s="101"/>
      <c r="R68" s="94">
        <v>0.42</v>
      </c>
      <c r="S68" s="99">
        <v>0.9500434398651123</v>
      </c>
      <c r="T68" s="157">
        <v>0.438</v>
      </c>
      <c r="V68" s="94">
        <v>0.42</v>
      </c>
      <c r="W68" s="157">
        <v>1.0632649660110474</v>
      </c>
      <c r="X68" s="157">
        <v>0.50855964422225952</v>
      </c>
      <c r="Y68" s="75"/>
    </row>
    <row r="69" spans="1:25" x14ac:dyDescent="0.25">
      <c r="A69" s="9">
        <v>0.22</v>
      </c>
      <c r="B69" s="157">
        <v>1.7189284563064575</v>
      </c>
      <c r="C69" s="157">
        <v>1.6277745962142944</v>
      </c>
      <c r="D69" s="157">
        <v>1.4636603593826294</v>
      </c>
      <c r="E69" s="157">
        <v>1.322029709815979</v>
      </c>
      <c r="F69" s="157">
        <v>1.2005057334899902</v>
      </c>
      <c r="G69" s="157">
        <v>1.0964285135269165</v>
      </c>
      <c r="H69" s="157">
        <v>1.0068594217300415</v>
      </c>
      <c r="I69" s="157">
        <v>0.92857837677001953</v>
      </c>
      <c r="J69" s="99">
        <v>0.85808545351028442</v>
      </c>
      <c r="K69" s="99">
        <v>0.79160070419311523</v>
      </c>
      <c r="R69" t="s">
        <v>123</v>
      </c>
      <c r="V69" t="s">
        <v>129</v>
      </c>
      <c r="X69" s="75"/>
      <c r="Y69" s="75"/>
    </row>
    <row r="70" spans="1:25" ht="15.75" thickBot="1" x14ac:dyDescent="0.3">
      <c r="A70" s="9">
        <v>0.26</v>
      </c>
      <c r="B70" s="157">
        <v>1.573358416557312</v>
      </c>
      <c r="C70" s="157">
        <v>1.4880244731903076</v>
      </c>
      <c r="D70" s="157">
        <v>1.3341571092605591</v>
      </c>
      <c r="E70" s="157">
        <v>1.2010934352874756</v>
      </c>
      <c r="F70" s="157">
        <v>1.0866576433181763</v>
      </c>
      <c r="G70" s="157">
        <v>0.98837900161743164</v>
      </c>
      <c r="H70" s="157">
        <v>0.90349555015563965</v>
      </c>
      <c r="I70" s="157">
        <v>0.8289521336555481</v>
      </c>
      <c r="J70" s="99">
        <v>0.76140052080154419</v>
      </c>
      <c r="K70" s="99">
        <v>0.69720059633255005</v>
      </c>
      <c r="W70" t="s">
        <v>128</v>
      </c>
      <c r="X70" s="75"/>
      <c r="Y70" s="75"/>
    </row>
    <row r="71" spans="1:25" ht="15.75" thickBot="1" x14ac:dyDescent="0.3">
      <c r="A71" s="9">
        <v>0.3</v>
      </c>
      <c r="B71" s="157">
        <v>1.4437484741210938</v>
      </c>
      <c r="C71" s="157">
        <v>1.3635034561157227</v>
      </c>
      <c r="D71" s="157">
        <v>1.2185895442962646</v>
      </c>
      <c r="E71" s="157">
        <v>1.0929818153381348</v>
      </c>
      <c r="F71" s="157">
        <v>0.98465472459793091</v>
      </c>
      <c r="G71" s="157">
        <v>0.89127761125564575</v>
      </c>
      <c r="H71" s="157">
        <v>0.8102155327796936</v>
      </c>
      <c r="I71" s="157">
        <v>0.73852890729904175</v>
      </c>
      <c r="J71" s="99">
        <v>0.67297327518463135</v>
      </c>
      <c r="K71" s="99">
        <v>0.61000049114227295</v>
      </c>
      <c r="P71" s="140" t="s">
        <v>18</v>
      </c>
      <c r="Q71" s="141"/>
      <c r="R71" s="141"/>
      <c r="S71" s="142"/>
      <c r="U71" t="s">
        <v>130</v>
      </c>
    </row>
    <row r="72" spans="1:25" ht="15.75" thickBot="1" x14ac:dyDescent="0.3">
      <c r="A72" s="9">
        <v>0.34</v>
      </c>
      <c r="B72" s="157">
        <v>1.3282384872436523</v>
      </c>
      <c r="C72" s="157">
        <v>1.2524063587188721</v>
      </c>
      <c r="D72" s="157">
        <v>1.1152527332305908</v>
      </c>
      <c r="E72" s="157">
        <v>0.99607330560684204</v>
      </c>
      <c r="F72" s="157">
        <v>0.89294379949569702</v>
      </c>
      <c r="G72" s="157">
        <v>0.80362635850906372</v>
      </c>
      <c r="H72" s="157">
        <v>0.72557133436203003</v>
      </c>
      <c r="I72" s="157">
        <v>0.65591675043106079</v>
      </c>
      <c r="J72" s="99">
        <v>0.59148848056793213</v>
      </c>
      <c r="K72" s="99">
        <v>0.52880048751831055</v>
      </c>
      <c r="N72" s="101"/>
      <c r="O72" s="101"/>
      <c r="P72" s="76">
        <v>0.1</v>
      </c>
      <c r="Q72" s="102">
        <v>0.22</v>
      </c>
      <c r="R72" s="102">
        <v>0.34</v>
      </c>
      <c r="S72" s="103">
        <v>0.5</v>
      </c>
      <c r="U72">
        <f>(W67-S67)/(0.5*(S67+W67))</f>
        <v>0.15002683770989614</v>
      </c>
      <c r="V72">
        <f>(X67-T67)/(0.5*(T67+X67))</f>
        <v>0.16439098545901792</v>
      </c>
    </row>
    <row r="73" spans="1:25" x14ac:dyDescent="0.25">
      <c r="A73" s="9">
        <v>0.38</v>
      </c>
      <c r="B73" s="157">
        <v>1.2249685525894165</v>
      </c>
      <c r="C73" s="157">
        <v>1.1529284715652466</v>
      </c>
      <c r="D73" s="157">
        <v>1.0224411487579346</v>
      </c>
      <c r="E73" s="157">
        <v>0.90874683856964111</v>
      </c>
      <c r="F73" s="157">
        <v>0.8099709153175354</v>
      </c>
      <c r="G73" s="157">
        <v>0.72392666339874268</v>
      </c>
      <c r="H73" s="157">
        <v>0.64811486005783081</v>
      </c>
      <c r="I73" s="157">
        <v>0.57972425222396851</v>
      </c>
      <c r="J73" s="99">
        <v>0.51563119888305664</v>
      </c>
      <c r="K73" s="99">
        <v>0.4524005651473999</v>
      </c>
      <c r="N73" s="143" t="s">
        <v>17</v>
      </c>
      <c r="O73" s="78">
        <v>1.5</v>
      </c>
      <c r="P73" s="81">
        <v>2.2690000000000001</v>
      </c>
      <c r="Q73" s="82">
        <v>1.5449999999999999</v>
      </c>
      <c r="R73" s="82">
        <v>1.2210000000000001</v>
      </c>
      <c r="S73" s="83">
        <v>0.96899999999999997</v>
      </c>
      <c r="U73">
        <f>(W68-S68)/(0.5*(S68+W68))</f>
        <v>0.11247310726511656</v>
      </c>
      <c r="V73">
        <f>(X68-T68)/(0.5*(T68+X68))</f>
        <v>0.1490865254037633</v>
      </c>
    </row>
    <row r="74" spans="1:25" x14ac:dyDescent="0.25">
      <c r="A74" s="9">
        <v>0.42</v>
      </c>
      <c r="B74" s="157">
        <v>1.1320787668228149</v>
      </c>
      <c r="C74" s="157">
        <v>1.0632649660110474</v>
      </c>
      <c r="D74" s="157">
        <v>0.93845051527023315</v>
      </c>
      <c r="E74" s="157">
        <v>0.82938110828399658</v>
      </c>
      <c r="F74" s="157">
        <v>0.73418289422988892</v>
      </c>
      <c r="G74" s="157">
        <v>0.65068060159683228</v>
      </c>
      <c r="H74" s="157">
        <v>0.57639855146408081</v>
      </c>
      <c r="I74" s="157">
        <v>0.50855964422225952</v>
      </c>
      <c r="J74" s="99">
        <v>0.44408628344535828</v>
      </c>
      <c r="K74" s="99">
        <v>0.37960058450698853</v>
      </c>
      <c r="N74" s="144"/>
      <c r="O74" s="79">
        <v>3</v>
      </c>
      <c r="P74" s="84">
        <v>1.774</v>
      </c>
      <c r="Q74" s="85">
        <v>1.175</v>
      </c>
      <c r="R74" s="85">
        <v>0.90500000000000003</v>
      </c>
      <c r="S74" s="86">
        <v>0.69199999999999995</v>
      </c>
      <c r="U74" t="s">
        <v>131</v>
      </c>
    </row>
    <row r="75" spans="1:25" x14ac:dyDescent="0.25">
      <c r="A75" s="9">
        <v>0.46</v>
      </c>
      <c r="B75" s="157">
        <v>1.0477087497711182</v>
      </c>
      <c r="C75" s="157">
        <v>0.98161053657531738</v>
      </c>
      <c r="D75" s="157">
        <v>0.86157500743865967</v>
      </c>
      <c r="E75" s="157">
        <v>0.75635451078414917</v>
      </c>
      <c r="F75" s="157">
        <v>0.66402560472488403</v>
      </c>
      <c r="G75" s="157">
        <v>0.58238977193832397</v>
      </c>
      <c r="H75" s="157">
        <v>0.50897407531738281</v>
      </c>
      <c r="I75" s="157">
        <v>0.44103115797042847</v>
      </c>
      <c r="J75" s="99">
        <v>0.37553867697715759</v>
      </c>
      <c r="K75" s="99">
        <v>0.30920055508613586</v>
      </c>
      <c r="N75" s="144"/>
      <c r="O75" s="79">
        <v>5</v>
      </c>
      <c r="P75" s="84">
        <v>1.47</v>
      </c>
      <c r="Q75" s="85">
        <v>0.94989999999999997</v>
      </c>
      <c r="R75" s="85">
        <v>0.71099999999999997</v>
      </c>
      <c r="S75" s="86">
        <v>0.51170000000000004</v>
      </c>
      <c r="U75">
        <f>0.25*(U72+V72+U73+V73)</f>
        <v>0.14399436395944848</v>
      </c>
    </row>
    <row r="76" spans="1:25" x14ac:dyDescent="0.25">
      <c r="A76" s="94">
        <v>0.5</v>
      </c>
      <c r="B76" s="157">
        <v>0.96999961137771606</v>
      </c>
      <c r="C76" s="157">
        <v>0.90616136789321899</v>
      </c>
      <c r="D76" s="157">
        <v>0.79011112451553345</v>
      </c>
      <c r="E76" s="157">
        <v>0.68804687261581421</v>
      </c>
      <c r="F76" s="157">
        <v>0.59794646501541138</v>
      </c>
      <c r="G76" s="157">
        <v>0.51755666732788086</v>
      </c>
      <c r="H76" s="157">
        <v>0.44439470767974854</v>
      </c>
      <c r="I76" s="157">
        <v>0.37574806809425354</v>
      </c>
      <c r="J76" s="99">
        <v>0.308674156665802</v>
      </c>
      <c r="K76" s="99">
        <v>0.24000130593776703</v>
      </c>
      <c r="N76" s="144"/>
      <c r="O76" s="79">
        <v>7</v>
      </c>
      <c r="P76" s="84">
        <v>1.296</v>
      </c>
      <c r="Q76" s="85">
        <v>0.82099999999999995</v>
      </c>
      <c r="R76" s="85">
        <v>0.59499999999999997</v>
      </c>
      <c r="S76" s="86">
        <v>0.39100000000000001</v>
      </c>
    </row>
    <row r="77" spans="1:25" ht="15.75" thickBot="1" x14ac:dyDescent="0.3">
      <c r="N77" s="145"/>
      <c r="O77" s="80">
        <v>10</v>
      </c>
      <c r="P77" s="87">
        <v>1.133</v>
      </c>
      <c r="Q77" s="88">
        <v>0.69799999999999995</v>
      </c>
      <c r="R77" s="88">
        <v>0.47299999999999998</v>
      </c>
      <c r="S77" s="89">
        <v>0.23499999999999999</v>
      </c>
    </row>
    <row r="80" spans="1:25" x14ac:dyDescent="0.25">
      <c r="X80" t="s">
        <v>133</v>
      </c>
    </row>
  </sheetData>
  <mergeCells count="44">
    <mergeCell ref="J64:J65"/>
    <mergeCell ref="K64:K65"/>
    <mergeCell ref="P71:S71"/>
    <mergeCell ref="N73:N77"/>
    <mergeCell ref="B10:B11"/>
    <mergeCell ref="C10:C11"/>
    <mergeCell ref="F10:F11"/>
    <mergeCell ref="G10:G11"/>
    <mergeCell ref="E64:E65"/>
    <mergeCell ref="F64:F65"/>
    <mergeCell ref="G64:G65"/>
    <mergeCell ref="H64:H65"/>
    <mergeCell ref="I64:I65"/>
    <mergeCell ref="B50:B51"/>
    <mergeCell ref="C50:C51"/>
    <mergeCell ref="B64:B65"/>
    <mergeCell ref="C64:C65"/>
    <mergeCell ref="D64:D65"/>
    <mergeCell ref="C4:E4"/>
    <mergeCell ref="A6:A8"/>
    <mergeCell ref="E50:E51"/>
    <mergeCell ref="F50:F51"/>
    <mergeCell ref="G50:G51"/>
    <mergeCell ref="H50:H51"/>
    <mergeCell ref="I50:I51"/>
    <mergeCell ref="J50:J51"/>
    <mergeCell ref="K50:K51"/>
    <mergeCell ref="E36:E37"/>
    <mergeCell ref="F36:F37"/>
    <mergeCell ref="D50:D51"/>
    <mergeCell ref="S50:S51"/>
    <mergeCell ref="T50:T51"/>
    <mergeCell ref="U50:U51"/>
    <mergeCell ref="V50:V51"/>
    <mergeCell ref="W50:W51"/>
    <mergeCell ref="Z50:Z51"/>
    <mergeCell ref="AA50:AA51"/>
    <mergeCell ref="AB50:AB51"/>
    <mergeCell ref="S65:S66"/>
    <mergeCell ref="T65:T66"/>
    <mergeCell ref="W65:W66"/>
    <mergeCell ref="X65:X66"/>
    <mergeCell ref="X50:X51"/>
    <mergeCell ref="Y50:Y5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4929" r:id="rId4" name="Button 1">
              <controlPr defaultSize="0" print="0" autoFill="0" autoPict="0" macro="[0]!Sheet6.bezier9ctrs">
                <anchor moveWithCells="1" sizeWithCells="1">
                  <from>
                    <xdr:col>14</xdr:col>
                    <xdr:colOff>247650</xdr:colOff>
                    <xdr:row>52</xdr:row>
                    <xdr:rowOff>47625</xdr:rowOff>
                  </from>
                  <to>
                    <xdr:col>16</xdr:col>
                    <xdr:colOff>180975</xdr:colOff>
                    <xdr:row>55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930" r:id="rId5" name="Button 2">
              <controlPr defaultSize="0" print="0" autoFill="0" autoPict="0" macro="[0]!Sheet6.bezier20ctrs">
                <anchor moveWithCells="1" sizeWithCells="1">
                  <from>
                    <xdr:col>14</xdr:col>
                    <xdr:colOff>219075</xdr:colOff>
                    <xdr:row>62</xdr:row>
                    <xdr:rowOff>180975</xdr:rowOff>
                  </from>
                  <to>
                    <xdr:col>16</xdr:col>
                    <xdr:colOff>152400</xdr:colOff>
                    <xdr:row>66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Surface_plots</vt:lpstr>
      <vt:lpstr>Avg_StDev_SurfaceDefect</vt:lpstr>
      <vt:lpstr>Avg_StDev_BuriedDefect</vt:lpstr>
      <vt:lpstr>SecGen</vt:lpstr>
      <vt:lpstr>Datalar</vt:lpstr>
      <vt:lpstr>Bezier</vt:lpstr>
    </vt:vector>
  </TitlesOfParts>
  <Company>University of Alberta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AICT Labs Group</dc:creator>
  <cp:lastModifiedBy>Celal</cp:lastModifiedBy>
  <dcterms:created xsi:type="dcterms:W3CDTF">2012-01-29T20:03:16Z</dcterms:created>
  <dcterms:modified xsi:type="dcterms:W3CDTF">2012-07-17T21:16:44Z</dcterms:modified>
</cp:coreProperties>
</file>